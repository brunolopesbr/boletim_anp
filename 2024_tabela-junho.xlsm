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govanp-my.sharepoint.com/personal/vncosta_anp_gov_br/Documents/"/>
    </mc:Choice>
  </mc:AlternateContent>
  <xr:revisionPtr revIDLastSave="139" documentId="8_{195501EC-CAEA-4522-9D7C-944D18980974}" xr6:coauthVersionLast="47" xr6:coauthVersionMax="47" xr10:uidLastSave="{9DCB897D-763E-4C1B-B29A-2A7E582F028F}"/>
  <bookViews>
    <workbookView xWindow="-120" yWindow="-120" windowWidth="29040" windowHeight="15840" xr2:uid="{00000000-000D-0000-FFFF-FFFF00000000}"/>
  </bookViews>
  <sheets>
    <sheet name="Lista de Tabelas" sheetId="5" r:id="rId1"/>
    <sheet name="1. Histórico de Produção" sheetId="1" r:id="rId2"/>
    <sheet name="2. Dados de Produção" sheetId="2" r:id="rId3"/>
    <sheet name="3. Ranking" sheetId="3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1" i="2" l="1"/>
  <c r="E181" i="2"/>
  <c r="D181" i="2"/>
  <c r="F97" i="2"/>
  <c r="E97" i="2"/>
  <c r="D97" i="2"/>
</calcChain>
</file>

<file path=xl/sharedStrings.xml><?xml version="1.0" encoding="utf-8"?>
<sst xmlns="http://schemas.openxmlformats.org/spreadsheetml/2006/main" count="1179" uniqueCount="347">
  <si>
    <t/>
  </si>
  <si>
    <t>1. HISTÓRICO DA PRODUÇÃO NACIONAL</t>
  </si>
  <si>
    <r>
      <rPr>
        <b/>
        <sz val="20"/>
        <color theme="1"/>
        <rFont val="Calibri"/>
        <family val="2"/>
        <scheme val="minor"/>
      </rPr>
      <t>Tabela 1.</t>
    </r>
    <r>
      <rPr>
        <sz val="20"/>
        <color theme="1"/>
        <rFont val="Calibri"/>
        <family val="2"/>
        <scheme val="minor"/>
      </rPr>
      <t xml:space="preserve"> Histórico de produção de petróleo – óleo e condensado (Mbbl/d)</t>
    </r>
  </si>
  <si>
    <t>Óleo</t>
  </si>
  <si>
    <t>Condensado</t>
  </si>
  <si>
    <t>Petróleo</t>
  </si>
  <si>
    <r>
      <rPr>
        <b/>
        <sz val="20"/>
        <color theme="1"/>
        <rFont val="Calibri"/>
        <family val="2"/>
        <scheme val="minor"/>
      </rPr>
      <t>Tabela 2.</t>
    </r>
    <r>
      <rPr>
        <sz val="20"/>
        <color theme="1"/>
        <rFont val="Calibri"/>
        <family val="2"/>
        <scheme val="minor"/>
      </rPr>
      <t xml:space="preserve"> Histórico de produção de gás natural – GASA e GASN (MMm³/d)</t>
    </r>
  </si>
  <si>
    <t>GASA</t>
  </si>
  <si>
    <t>GASN</t>
  </si>
  <si>
    <t>Gás Total</t>
  </si>
  <si>
    <r>
      <rPr>
        <b/>
        <sz val="20"/>
        <color theme="1"/>
        <rFont val="Calibri"/>
        <family val="2"/>
        <scheme val="minor"/>
      </rPr>
      <t xml:space="preserve">Tabela 3. </t>
    </r>
    <r>
      <rPr>
        <sz val="20"/>
        <color theme="1"/>
        <rFont val="Calibri"/>
        <family val="2"/>
        <scheme val="minor"/>
      </rPr>
      <t>Histórico da movimentação da gás natural (Mm³/d)</t>
    </r>
  </si>
  <si>
    <t>Mês/Ano</t>
  </si>
  <si>
    <t>Consumo Interno</t>
  </si>
  <si>
    <t>Queima</t>
  </si>
  <si>
    <t>Injeção</t>
  </si>
  <si>
    <t>Disponível</t>
  </si>
  <si>
    <t>Produção</t>
  </si>
  <si>
    <t>Aproveitamento</t>
  </si>
  <si>
    <t>Injeção descontando CO2</t>
  </si>
  <si>
    <t>Produção descontando CO2</t>
  </si>
  <si>
    <r>
      <rPr>
        <b/>
        <sz val="20"/>
        <color theme="1"/>
        <rFont val="Calibri"/>
        <family val="2"/>
        <scheme val="minor"/>
      </rPr>
      <t>Tabela 4.</t>
    </r>
    <r>
      <rPr>
        <sz val="20"/>
        <color theme="1"/>
        <rFont val="Calibri"/>
        <family val="2"/>
        <scheme val="minor"/>
      </rPr>
      <t xml:space="preserve"> Histórico de produção de petróleo e gás natural (Mboe/d)</t>
    </r>
  </si>
  <si>
    <t>Gás Natural</t>
  </si>
  <si>
    <t>Total</t>
  </si>
  <si>
    <t xml:space="preserve">2. DADOS DE PRODUÇÃO - DISTRIBUIÇÃO </t>
  </si>
  <si>
    <r>
      <rPr>
        <b/>
        <sz val="20"/>
        <color theme="1"/>
        <rFont val="Calibri"/>
        <family val="2"/>
        <scheme val="minor"/>
      </rPr>
      <t>Tabela 5.</t>
    </r>
    <r>
      <rPr>
        <sz val="20"/>
        <color theme="1"/>
        <rFont val="Calibri"/>
        <family val="2"/>
        <scheme val="minor"/>
      </rPr>
      <t xml:space="preserve"> Distribuição da produção de petróleo e gás natural por estado</t>
    </r>
  </si>
  <si>
    <t>Estado</t>
  </si>
  <si>
    <t>Petróleo (bbl/d)</t>
  </si>
  <si>
    <t>Gás Natural (Mm³/d)</t>
  </si>
  <si>
    <t>Produção Total (boe/d)</t>
  </si>
  <si>
    <t>Nº Campos produtores</t>
  </si>
  <si>
    <t>Rio de Janeiro</t>
  </si>
  <si>
    <t>São Paulo</t>
  </si>
  <si>
    <t>Espírito Santo</t>
  </si>
  <si>
    <t>Rio Grande do Norte</t>
  </si>
  <si>
    <t>Bahia</t>
  </si>
  <si>
    <t>Amazonas</t>
  </si>
  <si>
    <t>Sergipe</t>
  </si>
  <si>
    <t>Alagoas</t>
  </si>
  <si>
    <t>Ceará</t>
  </si>
  <si>
    <t>Maranhão</t>
  </si>
  <si>
    <t>Paraná</t>
  </si>
  <si>
    <r>
      <rPr>
        <b/>
        <sz val="20"/>
        <color theme="1"/>
        <rFont val="Calibri"/>
        <family val="2"/>
        <scheme val="minor"/>
      </rPr>
      <t>Tabela 6.</t>
    </r>
    <r>
      <rPr>
        <sz val="20"/>
        <color theme="1"/>
        <rFont val="Calibri"/>
        <family val="2"/>
        <scheme val="minor"/>
      </rPr>
      <t xml:space="preserve"> Distribuição da produção de petróleo e gás natural por bacia</t>
    </r>
  </si>
  <si>
    <t>Bacia</t>
  </si>
  <si>
    <t>Santos</t>
  </si>
  <si>
    <t>Campos</t>
  </si>
  <si>
    <t>Potiguar</t>
  </si>
  <si>
    <t>Recôncavo</t>
  </si>
  <si>
    <t>Solimões</t>
  </si>
  <si>
    <t>Barreirinhas</t>
  </si>
  <si>
    <t>Tucano Sul</t>
  </si>
  <si>
    <t>Parnaíba</t>
  </si>
  <si>
    <r>
      <rPr>
        <b/>
        <sz val="20"/>
        <color theme="1"/>
        <rFont val="Calibri"/>
        <family val="2"/>
        <scheme val="minor"/>
      </rPr>
      <t>Tabela 7.</t>
    </r>
    <r>
      <rPr>
        <sz val="20"/>
        <color theme="1"/>
        <rFont val="Calibri"/>
        <family val="2"/>
        <scheme val="minor"/>
      </rPr>
      <t xml:space="preserve"> Distribuição da produção de petróleo e gás natural por operador</t>
    </r>
  </si>
  <si>
    <t>Nº</t>
  </si>
  <si>
    <t>Operador</t>
  </si>
  <si>
    <t>PETROBRAS</t>
  </si>
  <si>
    <t>EQUINOR BRASIL</t>
  </si>
  <si>
    <t>PETRO RIO JAGUAR</t>
  </si>
  <si>
    <t>TOTALENERGIES EP</t>
  </si>
  <si>
    <t>SHELL BRASIL</t>
  </si>
  <si>
    <t>TRIDENT ENERGY</t>
  </si>
  <si>
    <t>3R PETROLEUM OFF</t>
  </si>
  <si>
    <t>3R POTIGUAR</t>
  </si>
  <si>
    <t>ENAUTA ENERGIA</t>
  </si>
  <si>
    <t>PERENCO BRASIL</t>
  </si>
  <si>
    <t>PRIO BRAVO</t>
  </si>
  <si>
    <t>POTIGUAR E&amp;P S.A.</t>
  </si>
  <si>
    <t>KAROON BRASIL</t>
  </si>
  <si>
    <t>ORIGEM ALAGOAS</t>
  </si>
  <si>
    <t>BW MAROMBA</t>
  </si>
  <si>
    <t>CARMO</t>
  </si>
  <si>
    <t>SPE MIRANGA</t>
  </si>
  <si>
    <t>3R MACAU</t>
  </si>
  <si>
    <t>SEACREST NORTE CAP</t>
  </si>
  <si>
    <t>ENEVA</t>
  </si>
  <si>
    <t>3R BAHIA</t>
  </si>
  <si>
    <t>3R RIO VENTURA</t>
  </si>
  <si>
    <t>SPE TIÊTA</t>
  </si>
  <si>
    <t>PETRORECÔNCAVO</t>
  </si>
  <si>
    <t>SEACREST SPE CRICARÉ</t>
  </si>
  <si>
    <t>ALVOPETRO</t>
  </si>
  <si>
    <t>3R FAZENDA BELÉM</t>
  </si>
  <si>
    <t>3R RNCE</t>
  </si>
  <si>
    <t>CAPIXABA ENERGIA</t>
  </si>
  <si>
    <t>RECÔNCAVO ENERGIA</t>
  </si>
  <si>
    <t>PETROSYNERGY</t>
  </si>
  <si>
    <t>ORIGEM</t>
  </si>
  <si>
    <t>MANDACARU ENERGIA</t>
  </si>
  <si>
    <t>IMETAME</t>
  </si>
  <si>
    <t>PETROM</t>
  </si>
  <si>
    <t>NÍON ENERGIA</t>
  </si>
  <si>
    <t>PETROBORN</t>
  </si>
  <si>
    <t>BARRA BONITA</t>
  </si>
  <si>
    <t>BGM</t>
  </si>
  <si>
    <t>SLIM DRILLING</t>
  </si>
  <si>
    <t>RECÔNCAVO E&amp;P</t>
  </si>
  <si>
    <t>NOVA PETRÓLEO</t>
  </si>
  <si>
    <t>PETRO-VICTORY</t>
  </si>
  <si>
    <t>PERÍCIA</t>
  </si>
  <si>
    <t>ENERGIZZI ENERGIAS</t>
  </si>
  <si>
    <t>NTF</t>
  </si>
  <si>
    <t>PHOENIX ÓLEO &amp; GÁS</t>
  </si>
  <si>
    <t>VIPETRO</t>
  </si>
  <si>
    <t>GUTO &amp; CACAL</t>
  </si>
  <si>
    <t>EPG BRASIL</t>
  </si>
  <si>
    <t>TARMAR</t>
  </si>
  <si>
    <t>NORD</t>
  </si>
  <si>
    <t>BRASIL REFINARIAS</t>
  </si>
  <si>
    <r>
      <rPr>
        <b/>
        <sz val="20"/>
        <color theme="1"/>
        <rFont val="Calibri"/>
        <family val="2"/>
        <scheme val="minor"/>
      </rPr>
      <t xml:space="preserve">Tabela 8. </t>
    </r>
    <r>
      <rPr>
        <sz val="20"/>
        <color theme="1"/>
        <rFont val="Calibri"/>
        <family val="2"/>
        <scheme val="minor"/>
      </rPr>
      <t>Distribuição da produção de petróleo e gás natural por concessionário</t>
    </r>
  </si>
  <si>
    <t>Concessionário</t>
  </si>
  <si>
    <t>PETROGAL BRASIL</t>
  </si>
  <si>
    <t>CNOOC PETROLEUM</t>
  </si>
  <si>
    <t>REPSOL SINOPEC</t>
  </si>
  <si>
    <t>CNODC BRASIL</t>
  </si>
  <si>
    <t>PETRONAS</t>
  </si>
  <si>
    <t>PPSA</t>
  </si>
  <si>
    <t>SINOCHEM PETRÓLEO</t>
  </si>
  <si>
    <t>QATARENERGY</t>
  </si>
  <si>
    <t>EQUINOR ENERGY</t>
  </si>
  <si>
    <t>ONGC CAMPOS</t>
  </si>
  <si>
    <t>NOVA TÉCNICA</t>
  </si>
  <si>
    <t>PRIO</t>
  </si>
  <si>
    <t>SHB</t>
  </si>
  <si>
    <t>3R PESCADA</t>
  </si>
  <si>
    <t>IPI</t>
  </si>
  <si>
    <t>GEOPAR - GEOSOL</t>
  </si>
  <si>
    <t>ENERGY PARANÃ</t>
  </si>
  <si>
    <t>ANDORINHA PETRÓLEO</t>
  </si>
  <si>
    <t>CAMPO PETRÓLEO</t>
  </si>
  <si>
    <t>GEOFLUX</t>
  </si>
  <si>
    <t>NEWO</t>
  </si>
  <si>
    <t>SONANGOL GUANAMBI</t>
  </si>
  <si>
    <r>
      <rPr>
        <b/>
        <sz val="20"/>
        <color theme="1"/>
        <rFont val="Calibri"/>
        <family val="2"/>
        <scheme val="minor"/>
      </rPr>
      <t xml:space="preserve">Tabela 9. </t>
    </r>
    <r>
      <rPr>
        <sz val="20"/>
        <color theme="1"/>
        <rFont val="Calibri"/>
        <family val="2"/>
        <scheme val="minor"/>
      </rPr>
      <t>Movimentação de gás natural por destinação (Mm³/d)</t>
    </r>
  </si>
  <si>
    <t>Camamu</t>
  </si>
  <si>
    <t>Mucuri</t>
  </si>
  <si>
    <r>
      <rPr>
        <b/>
        <sz val="20"/>
        <color theme="1"/>
        <rFont val="Calibri"/>
        <family val="2"/>
        <scheme val="minor"/>
      </rPr>
      <t xml:space="preserve">Tabela 10. </t>
    </r>
    <r>
      <rPr>
        <sz val="20"/>
        <color theme="1"/>
        <rFont val="Calibri"/>
        <family val="2"/>
        <scheme val="minor"/>
      </rPr>
      <t>Distribuição da produção dos campos do Pré-sal¹</t>
    </r>
  </si>
  <si>
    <t>Campo</t>
  </si>
  <si>
    <t>Petróleo (bbl/d) Pré Sal</t>
  </si>
  <si>
    <t>Petróleo (bbl/d) Pós Sal</t>
  </si>
  <si>
    <t>Gás natural (Mm³/d) Pré Sal</t>
  </si>
  <si>
    <t>Gás natural (Mm³/d) Pós Sal</t>
  </si>
  <si>
    <t>Produção (boe/d) Pré Sal</t>
  </si>
  <si>
    <t xml:space="preserve">Produção (boe/d) Pós Sal </t>
  </si>
  <si>
    <t>Tupi</t>
  </si>
  <si>
    <t>Búzios</t>
  </si>
  <si>
    <t>Mero</t>
  </si>
  <si>
    <t>Sapinhoá</t>
  </si>
  <si>
    <t>Sépia</t>
  </si>
  <si>
    <t>Itapu</t>
  </si>
  <si>
    <t>Atapu</t>
  </si>
  <si>
    <t>Itapu_Eco</t>
  </si>
  <si>
    <t>Berbigão</t>
  </si>
  <si>
    <t>Jubarte</t>
  </si>
  <si>
    <t>Lapa</t>
  </si>
  <si>
    <t>Sururu</t>
  </si>
  <si>
    <t>Sul de Tupi</t>
  </si>
  <si>
    <t>Oeste de Atapu</t>
  </si>
  <si>
    <t>Sépia Leste</t>
  </si>
  <si>
    <t>Sul de Berbigão</t>
  </si>
  <si>
    <t>Barracuda</t>
  </si>
  <si>
    <t>Caratinga</t>
  </si>
  <si>
    <t>Anc_Mero</t>
  </si>
  <si>
    <t>Marlim</t>
  </si>
  <si>
    <t>Voador</t>
  </si>
  <si>
    <t>Tambuatá</t>
  </si>
  <si>
    <t>Sudoeste de Sapinhoá</t>
  </si>
  <si>
    <t>Anc_Tupi</t>
  </si>
  <si>
    <t>Marlim Sul</t>
  </si>
  <si>
    <t>Noroeste de Sapinhoá</t>
  </si>
  <si>
    <t>Anc_Norte_Atapu</t>
  </si>
  <si>
    <t>Nordeste de Sapinhoá</t>
  </si>
  <si>
    <t>Espadim</t>
  </si>
  <si>
    <t>3. RANKING DA PRODUÇÃO</t>
  </si>
  <si>
    <r>
      <rPr>
        <b/>
        <sz val="20"/>
        <color theme="1"/>
        <rFont val="Calibri"/>
        <family val="2"/>
        <scheme val="minor"/>
      </rPr>
      <t>Tabela 11.</t>
    </r>
    <r>
      <rPr>
        <sz val="20"/>
        <color theme="1"/>
        <rFont val="Calibri"/>
        <family val="2"/>
        <scheme val="minor"/>
      </rPr>
      <t xml:space="preserve"> Os 30 poços com maior produção de petróleo (bbl/d)</t>
    </r>
  </si>
  <si>
    <t>Poço</t>
  </si>
  <si>
    <t>Localização</t>
  </si>
  <si>
    <t>7-MRO-6DB-RJS</t>
  </si>
  <si>
    <t>Anc_Mero / Mero</t>
  </si>
  <si>
    <t>Mar</t>
  </si>
  <si>
    <t>9-BRSA-1254-RJS</t>
  </si>
  <si>
    <t>Sépia / Sépia Leste / Sépia_Eco</t>
  </si>
  <si>
    <t>7-MRO-10B-RJS</t>
  </si>
  <si>
    <t>3-BRSA-1322-RJS</t>
  </si>
  <si>
    <t>7-BUZ-50D-RJS</t>
  </si>
  <si>
    <t>Búzios / Búzios_Eco / Tambuatá</t>
  </si>
  <si>
    <t>7-BUZ-18-RJS</t>
  </si>
  <si>
    <t>7-BUZ-33-RJS</t>
  </si>
  <si>
    <t>7-BUZ-45DA-RJS</t>
  </si>
  <si>
    <t>7-BUZ-12-RJS</t>
  </si>
  <si>
    <t>9-ITP-1-RJS</t>
  </si>
  <si>
    <t>Itapu / Itapu_Eco</t>
  </si>
  <si>
    <t>7-BUZ-10-RJS</t>
  </si>
  <si>
    <t>3-BRSA-1255-RJS</t>
  </si>
  <si>
    <t>7-ATP-6-RJS</t>
  </si>
  <si>
    <t>Atapu / Atapu_Eco / Anc_Norte_Atapu / Oeste De Atapu</t>
  </si>
  <si>
    <t>7-ITP-5D-RJS</t>
  </si>
  <si>
    <t>3-BRSA-1201-RJS</t>
  </si>
  <si>
    <t>7-BUZ-23-RJS</t>
  </si>
  <si>
    <t>7-BUZ-25-RJS</t>
  </si>
  <si>
    <t>7-BUZ-30-RJS</t>
  </si>
  <si>
    <t>9-ATP-1-RJS</t>
  </si>
  <si>
    <t>7-MRO-16D-RJS</t>
  </si>
  <si>
    <t>9-BUZ-4-RJS</t>
  </si>
  <si>
    <t>7-BUZ-31D-RJS</t>
  </si>
  <si>
    <t>1-BRSA-976-RJS</t>
  </si>
  <si>
    <t>7-TUP-121DA-RJS</t>
  </si>
  <si>
    <t>7-SEP-6-RJS</t>
  </si>
  <si>
    <t>7-ITP-3A-RJS</t>
  </si>
  <si>
    <t>1-BRSA-1116-RJS</t>
  </si>
  <si>
    <t>9-BUZ-3-RJS</t>
  </si>
  <si>
    <t>Anc_Tupi / Sul De Tupi / Tupi</t>
  </si>
  <si>
    <r>
      <rPr>
        <b/>
        <sz val="20"/>
        <color theme="1"/>
        <rFont val="Calibri"/>
        <family val="2"/>
        <scheme val="minor"/>
      </rPr>
      <t>Tabela 12.</t>
    </r>
    <r>
      <rPr>
        <sz val="20"/>
        <color theme="1"/>
        <rFont val="Calibri"/>
        <family val="2"/>
        <scheme val="minor"/>
      </rPr>
      <t xml:space="preserve"> Os 30 poços com maior produção de gás natural (Mm³/d)</t>
    </r>
  </si>
  <si>
    <t>Gás natural (Mm³/d)</t>
  </si>
  <si>
    <t>7-SPH-22-SPS</t>
  </si>
  <si>
    <t>Nordeste De Sapinhoá / Noroeste De Sapinhoá / Sapinhoá / Sudoeste De Sapinhoá</t>
  </si>
  <si>
    <t>9-LL-20D-RJS</t>
  </si>
  <si>
    <t>9-LL-2-RJS</t>
  </si>
  <si>
    <t>7-BUZ-29D-RJS</t>
  </si>
  <si>
    <r>
      <rPr>
        <b/>
        <sz val="20"/>
        <color theme="1"/>
        <rFont val="Calibri"/>
        <family val="2"/>
        <scheme val="minor"/>
      </rPr>
      <t>Tabela 13.</t>
    </r>
    <r>
      <rPr>
        <sz val="20"/>
        <color theme="1"/>
        <rFont val="Calibri"/>
        <family val="2"/>
        <scheme val="minor"/>
      </rPr>
      <t xml:space="preserve"> Os 30 poços com maior produção total (boe/d)</t>
    </r>
  </si>
  <si>
    <t>Produção (boe/d)</t>
  </si>
  <si>
    <r>
      <rPr>
        <b/>
        <sz val="20"/>
        <color theme="1"/>
        <rFont val="Calibri"/>
        <family val="2"/>
        <scheme val="minor"/>
      </rPr>
      <t>Tabela 14.</t>
    </r>
    <r>
      <rPr>
        <sz val="20"/>
        <color theme="1"/>
        <rFont val="Calibri"/>
        <family val="2"/>
        <scheme val="minor"/>
      </rPr>
      <t xml:space="preserve"> Os 30 poços  terrestres com maior produção de petróleo (bbl/d)</t>
    </r>
  </si>
  <si>
    <t>1-BRSA-769-AM</t>
  </si>
  <si>
    <t>Arara Azul</t>
  </si>
  <si>
    <t>Terra</t>
  </si>
  <si>
    <t>7-TIE-1D-BA</t>
  </si>
  <si>
    <t>Tiê</t>
  </si>
  <si>
    <t>7-TIE-2DB-BA</t>
  </si>
  <si>
    <t>7-LUC-42HP-AM</t>
  </si>
  <si>
    <t>Leste Do Urucu</t>
  </si>
  <si>
    <t>3-BRSA-1218-AM</t>
  </si>
  <si>
    <t>Sudoeste Urucu</t>
  </si>
  <si>
    <t>7-LUC-50HP-AM</t>
  </si>
  <si>
    <t>4-SMT-3-AM</t>
  </si>
  <si>
    <t>Araracanga</t>
  </si>
  <si>
    <t>7-LUC-88HP-AM</t>
  </si>
  <si>
    <t>9-RUC-97DP-AM</t>
  </si>
  <si>
    <t>Rio Urucu</t>
  </si>
  <si>
    <t>1-SMT-2-AM</t>
  </si>
  <si>
    <t>7-LUC-71HP-AM</t>
  </si>
  <si>
    <t>7-LUC-41HP-AM</t>
  </si>
  <si>
    <t>7-RUC-33D-AM</t>
  </si>
  <si>
    <t>7-LUC-65HP-AM</t>
  </si>
  <si>
    <t>7-LUC-84HP-AM</t>
  </si>
  <si>
    <t>7-LUC-25-AM</t>
  </si>
  <si>
    <t>7-LUC-57HP-AM</t>
  </si>
  <si>
    <t>7-TIE-4HE-BA</t>
  </si>
  <si>
    <t>7-LUC-24DP-AM</t>
  </si>
  <si>
    <t>7-LUC-17-AM</t>
  </si>
  <si>
    <t>7-LUC-80DP-AM</t>
  </si>
  <si>
    <t>7-LUC-29H-AM</t>
  </si>
  <si>
    <t>7-RUC-58HP-AM</t>
  </si>
  <si>
    <t>7-LUC-73HP-AM</t>
  </si>
  <si>
    <t>3-LUC-6-AM</t>
  </si>
  <si>
    <t>7-LUC-59HP-AM</t>
  </si>
  <si>
    <t>4-LUC-3-AM</t>
  </si>
  <si>
    <r>
      <rPr>
        <b/>
        <sz val="20"/>
        <color theme="1"/>
        <rFont val="Calibri"/>
        <family val="2"/>
        <scheme val="minor"/>
      </rPr>
      <t xml:space="preserve">Tabela 15. </t>
    </r>
    <r>
      <rPr>
        <sz val="20"/>
        <color theme="1"/>
        <rFont val="Calibri"/>
        <family val="2"/>
        <scheme val="minor"/>
      </rPr>
      <t>Os 30 poços  terrestres com maior produção de gás natural (Mm³/d)</t>
    </r>
  </si>
  <si>
    <t>9-RUC-104DP-AM</t>
  </si>
  <si>
    <t>7-RUC-96HP-AM</t>
  </si>
  <si>
    <t>Azulão</t>
  </si>
  <si>
    <t>7-RUC-107HP-AM</t>
  </si>
  <si>
    <t>7-RUC-62HP-AM</t>
  </si>
  <si>
    <t>7-RUC-92DP-AM</t>
  </si>
  <si>
    <t>4-RUC-10-AM</t>
  </si>
  <si>
    <t>7-LUC-22DP-AM</t>
  </si>
  <si>
    <t>7-RUC-67HPA-AM</t>
  </si>
  <si>
    <r>
      <rPr>
        <b/>
        <sz val="20"/>
        <color theme="1"/>
        <rFont val="Calibri"/>
        <family val="2"/>
        <scheme val="minor"/>
      </rPr>
      <t>Tabela 16.</t>
    </r>
    <r>
      <rPr>
        <sz val="20"/>
        <color theme="1"/>
        <rFont val="Calibri"/>
        <family val="2"/>
        <scheme val="minor"/>
      </rPr>
      <t xml:space="preserve"> As 30 instalações com maior produção de petróleo (bbl/d)</t>
    </r>
  </si>
  <si>
    <t>Instalação</t>
  </si>
  <si>
    <t>Nº poços  produtores</t>
  </si>
  <si>
    <t>Campos produtores</t>
  </si>
  <si>
    <t>FPSO Guanabara</t>
  </si>
  <si>
    <t>Petrobras 77</t>
  </si>
  <si>
    <t>FPSO Carioca (Mv-30)</t>
  </si>
  <si>
    <t>Petrobras 71</t>
  </si>
  <si>
    <t>FPSO Almirante Barroso</t>
  </si>
  <si>
    <t>Petrobras 75 (P-75)</t>
  </si>
  <si>
    <t>Petrobras 76</t>
  </si>
  <si>
    <t>Petrobras 70</t>
  </si>
  <si>
    <t>Petrobras 68</t>
  </si>
  <si>
    <t>Berbigão / Sul De Berbigão / Sururu</t>
  </si>
  <si>
    <t>FPSO Cidade de Maricá</t>
  </si>
  <si>
    <t>Petrobras 67 (P-67)</t>
  </si>
  <si>
    <t>FPSO Cidade de Saquarema</t>
  </si>
  <si>
    <t>Petrobras 69</t>
  </si>
  <si>
    <t>FPSO Cidade de Itaguaí</t>
  </si>
  <si>
    <t>Petrobras 66 (P-66)</t>
  </si>
  <si>
    <t>FPSO Cidade de Mangaratiba</t>
  </si>
  <si>
    <t>FPSO Cidade de Ilha Bela</t>
  </si>
  <si>
    <t>Petrobras 74 (P-74)</t>
  </si>
  <si>
    <t>FPSO Cidade de São Paulo</t>
  </si>
  <si>
    <t>Petrobras 58</t>
  </si>
  <si>
    <t>FPSO Cidade de Campos dos Goytacazes</t>
  </si>
  <si>
    <t>Espadarte / Tartaruga Verde / Tartaruga Verde Sudoeste</t>
  </si>
  <si>
    <t>FPSO Cidade de Caraguatatuba</t>
  </si>
  <si>
    <t>FPSO Frade</t>
  </si>
  <si>
    <t>Frade</t>
  </si>
  <si>
    <t>Peregrino C</t>
  </si>
  <si>
    <t>Peregrino / Pitangola</t>
  </si>
  <si>
    <t>FPSO Cidade de Angra dos Reis</t>
  </si>
  <si>
    <t>FPSO Sepetiba</t>
  </si>
  <si>
    <t>Petrobras 52</t>
  </si>
  <si>
    <t>Roncador</t>
  </si>
  <si>
    <t>FPSO Cidade de Paraty</t>
  </si>
  <si>
    <t>Polo Arara</t>
  </si>
  <si>
    <t>Arara Azul / Araracanga / Rio Urucu / Sudoeste Urucu</t>
  </si>
  <si>
    <r>
      <rPr>
        <b/>
        <sz val="20"/>
        <color theme="1"/>
        <rFont val="Calibri"/>
        <family val="2"/>
        <scheme val="minor"/>
      </rPr>
      <t>Tabela 17.</t>
    </r>
    <r>
      <rPr>
        <sz val="20"/>
        <color theme="1"/>
        <rFont val="Calibri"/>
        <family val="2"/>
        <scheme val="minor"/>
      </rPr>
      <t xml:space="preserve"> As 30 instalações com maior produção de gás natural (Mm³/d)</t>
    </r>
  </si>
  <si>
    <t>Gás natural  (Mm³/d)</t>
  </si>
  <si>
    <r>
      <rPr>
        <b/>
        <sz val="20"/>
        <color theme="1"/>
        <rFont val="Calibri"/>
        <family val="2"/>
        <scheme val="minor"/>
      </rPr>
      <t>Tabela 18.</t>
    </r>
    <r>
      <rPr>
        <sz val="20"/>
        <color theme="1"/>
        <rFont val="Calibri"/>
        <family val="2"/>
        <scheme val="minor"/>
      </rPr>
      <t xml:space="preserve"> Os 20 campos com maior queima este mês</t>
    </r>
  </si>
  <si>
    <t xml:space="preserve">Queima de Gás (Mm³/d) </t>
  </si>
  <si>
    <t>Albacora Leste</t>
  </si>
  <si>
    <t>Marimbá</t>
  </si>
  <si>
    <t>Leste do Urucu</t>
  </si>
  <si>
    <t>Papa-Terra</t>
  </si>
  <si>
    <t>Peregrino</t>
  </si>
  <si>
    <t>Golfinho</t>
  </si>
  <si>
    <t>06/2023</t>
  </si>
  <si>
    <t>07/2023</t>
  </si>
  <si>
    <t>08/2023</t>
  </si>
  <si>
    <t>09/2023</t>
  </si>
  <si>
    <t>10/2023</t>
  </si>
  <si>
    <t>11/2023</t>
  </si>
  <si>
    <t>12/2023</t>
  </si>
  <si>
    <t>01/2024</t>
  </si>
  <si>
    <t>02/2024</t>
  </si>
  <si>
    <t>03/2024</t>
  </si>
  <si>
    <t>04/2024</t>
  </si>
  <si>
    <t>05/2024</t>
  </si>
  <si>
    <t>06/2024</t>
  </si>
  <si>
    <t>PETROIL</t>
  </si>
  <si>
    <t>OIL GROUP</t>
  </si>
  <si>
    <t>7-BUZ-14DA-RJS</t>
  </si>
  <si>
    <t>9-BRSA-1284-RJS</t>
  </si>
  <si>
    <t>7-OATP-1-RJS</t>
  </si>
  <si>
    <t>7-LL-36A-RJS</t>
  </si>
  <si>
    <t>4-BRSA-1226-RJS</t>
  </si>
  <si>
    <t>Peo-1Brsa1146Rjs_Iara_Entorno_Cco / Sul De Berbigão</t>
  </si>
  <si>
    <t>7-TIE-11DP-BA</t>
  </si>
  <si>
    <t>7-LUC-63HP-AM</t>
  </si>
  <si>
    <t>3-GTE-3D-BA</t>
  </si>
  <si>
    <t>7-RUC-59DP-AM</t>
  </si>
  <si>
    <t>7-LUC-36HP-AM</t>
  </si>
  <si>
    <t>9-RUC-75D-AM</t>
  </si>
  <si>
    <t>3-SUC-3-AM</t>
  </si>
  <si>
    <t>7-AZU-3-AM</t>
  </si>
  <si>
    <t>3-RUC-8-AM</t>
  </si>
  <si>
    <t>Petrobras 40</t>
  </si>
  <si>
    <t>Marlim / Marlim Sul</t>
  </si>
  <si>
    <t>Baúna</t>
  </si>
  <si>
    <t>Carmópolis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</si>
</sst>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;\-0.0%;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8.5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theme="1"/>
      <name val="Calibri"/>
      <family val="2"/>
    </font>
    <font>
      <sz val="2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9"/>
      <color theme="1"/>
      <name val="Cambria"/>
      <family val="1"/>
    </font>
    <font>
      <b/>
      <sz val="30"/>
      <color theme="1"/>
      <name val="Cambria"/>
      <family val="1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u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0064B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4F81BD"/>
      </bottom>
      <diagonal/>
    </border>
    <border>
      <left/>
      <right/>
      <top/>
      <bottom style="medium">
        <color rgb="FF548DD4"/>
      </bottom>
      <diagonal/>
    </border>
    <border>
      <left/>
      <right/>
      <top/>
      <bottom style="thin">
        <color theme="3" tint="0.39994506668294322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0" borderId="0"/>
    <xf numFmtId="43" fontId="1" fillId="0" borderId="0" applyFont="0" applyFill="0" applyBorder="0" applyProtection="0">
      <alignment horizontal="center" vertical="center"/>
    </xf>
    <xf numFmtId="0" fontId="17" fillId="0" borderId="0"/>
    <xf numFmtId="43" fontId="1" fillId="0" borderId="0" applyFont="0" applyFill="0" applyBorder="0" applyAlignment="0" applyProtection="0"/>
    <xf numFmtId="0" fontId="19" fillId="0" borderId="0"/>
    <xf numFmtId="0" fontId="20" fillId="0" borderId="0"/>
  </cellStyleXfs>
  <cellXfs count="102">
    <xf numFmtId="0" fontId="0" fillId="0" borderId="0" xfId="0"/>
    <xf numFmtId="0" fontId="10" fillId="0" borderId="0" xfId="0" applyFont="1"/>
    <xf numFmtId="0" fontId="9" fillId="0" borderId="0" xfId="0" applyFont="1"/>
    <xf numFmtId="14" fontId="11" fillId="0" borderId="0" xfId="0" applyNumberFormat="1" applyFont="1"/>
    <xf numFmtId="0" fontId="12" fillId="0" borderId="0" xfId="0" applyFont="1"/>
    <xf numFmtId="0" fontId="4" fillId="0" borderId="0" xfId="0" applyFont="1" applyAlignment="1">
      <alignment horizontal="justify" wrapText="1"/>
    </xf>
    <xf numFmtId="3" fontId="5" fillId="0" borderId="0" xfId="0" applyNumberFormat="1" applyFont="1" applyAlignment="1">
      <alignment horizontal="center" wrapText="1"/>
    </xf>
    <xf numFmtId="0" fontId="14" fillId="4" borderId="0" xfId="0" applyFont="1" applyFill="1"/>
    <xf numFmtId="0" fontId="7" fillId="0" borderId="0" xfId="0" applyFont="1" applyAlignment="1">
      <alignment horizontal="left" vertical="center" wrapText="1"/>
    </xf>
    <xf numFmtId="3" fontId="6" fillId="0" borderId="0" xfId="0" applyNumberFormat="1" applyFont="1" applyAlignment="1">
      <alignment horizontal="center" vertical="center" wrapText="1"/>
    </xf>
    <xf numFmtId="0" fontId="15" fillId="4" borderId="0" xfId="0" applyFont="1" applyFill="1"/>
    <xf numFmtId="0" fontId="0" fillId="4" borderId="0" xfId="0" applyFill="1"/>
    <xf numFmtId="0" fontId="0" fillId="0" borderId="0" xfId="0" quotePrefix="1"/>
    <xf numFmtId="0" fontId="2" fillId="4" borderId="0" xfId="0" applyFont="1" applyFill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justify" vertical="center" wrapText="1"/>
    </xf>
    <xf numFmtId="3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justify" vertical="center" wrapText="1"/>
    </xf>
    <xf numFmtId="3" fontId="5" fillId="0" borderId="0" xfId="0" applyNumberFormat="1" applyFont="1" applyAlignment="1">
      <alignment horizontal="center" vertical="center" wrapText="1"/>
    </xf>
    <xf numFmtId="0" fontId="4" fillId="3" borderId="1" xfId="0" applyFont="1" applyFill="1" applyBorder="1" applyAlignment="1">
      <alignment horizontal="justify" vertical="center" wrapText="1"/>
    </xf>
    <xf numFmtId="3" fontId="4" fillId="3" borderId="1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0" fontId="7" fillId="3" borderId="0" xfId="0" applyFont="1" applyFill="1" applyAlignment="1">
      <alignment horizontal="center" wrapText="1"/>
    </xf>
    <xf numFmtId="0" fontId="7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3" fontId="7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3" fontId="7" fillId="4" borderId="0" xfId="0" applyNumberFormat="1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3" fontId="7" fillId="3" borderId="0" xfId="0" applyNumberFormat="1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3" fontId="7" fillId="0" borderId="3" xfId="0" applyNumberFormat="1" applyFont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3" fontId="7" fillId="4" borderId="3" xfId="0" applyNumberFormat="1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3" fontId="0" fillId="0" borderId="0" xfId="0" applyNumberFormat="1"/>
    <xf numFmtId="0" fontId="6" fillId="3" borderId="0" xfId="0" applyFont="1" applyFill="1" applyAlignment="1">
      <alignment vertical="center" wrapText="1"/>
    </xf>
    <xf numFmtId="164" fontId="2" fillId="2" borderId="0" xfId="11" applyNumberFormat="1" applyFont="1" applyFill="1" applyAlignment="1">
      <alignment horizontal="center" vertical="center" wrapText="1"/>
    </xf>
    <xf numFmtId="0" fontId="19" fillId="0" borderId="0" xfId="12"/>
    <xf numFmtId="3" fontId="7" fillId="3" borderId="0" xfId="0" applyNumberFormat="1" applyFont="1" applyFill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/>
    </xf>
    <xf numFmtId="0" fontId="21" fillId="4" borderId="0" xfId="0" applyFont="1" applyFill="1"/>
    <xf numFmtId="3" fontId="5" fillId="3" borderId="0" xfId="9" applyNumberFormat="1" applyFont="1" applyFill="1">
      <alignment horizontal="center" vertical="center"/>
    </xf>
    <xf numFmtId="3" fontId="5" fillId="0" borderId="0" xfId="9" applyNumberFormat="1" applyFont="1" applyFill="1">
      <alignment horizontal="center" vertical="center"/>
    </xf>
    <xf numFmtId="0" fontId="2" fillId="2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3" fontId="2" fillId="4" borderId="0" xfId="0" applyNumberFormat="1" applyFont="1" applyFill="1" applyAlignment="1">
      <alignment vertical="center" wrapText="1"/>
    </xf>
    <xf numFmtId="1" fontId="2" fillId="4" borderId="0" xfId="0" applyNumberFormat="1" applyFont="1" applyFill="1" applyAlignment="1">
      <alignment vertical="center" wrapText="1"/>
    </xf>
    <xf numFmtId="164" fontId="2" fillId="2" borderId="0" xfId="11" applyNumberFormat="1" applyFont="1" applyFill="1" applyAlignment="1">
      <alignment vertical="center" wrapText="1"/>
    </xf>
    <xf numFmtId="164" fontId="2" fillId="4" borderId="0" xfId="11" applyNumberFormat="1" applyFont="1" applyFill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164" fontId="5" fillId="0" borderId="0" xfId="9" applyNumberFormat="1" applyFont="1" applyAlignment="1">
      <alignment vertical="center"/>
    </xf>
    <xf numFmtId="0" fontId="23" fillId="0" borderId="0" xfId="0" applyFont="1"/>
    <xf numFmtId="3" fontId="2" fillId="2" borderId="0" xfId="0" applyNumberFormat="1" applyFont="1" applyFill="1" applyAlignment="1">
      <alignment vertical="center" wrapText="1"/>
    </xf>
    <xf numFmtId="3" fontId="6" fillId="0" borderId="0" xfId="0" applyNumberFormat="1" applyFont="1" applyAlignment="1">
      <alignment vertical="center" wrapText="1"/>
    </xf>
    <xf numFmtId="3" fontId="6" fillId="3" borderId="0" xfId="0" applyNumberFormat="1" applyFont="1" applyFill="1" applyAlignment="1">
      <alignment vertical="center" wrapText="1"/>
    </xf>
    <xf numFmtId="0" fontId="22" fillId="0" borderId="0" xfId="12" applyFont="1"/>
    <xf numFmtId="3" fontId="22" fillId="0" borderId="0" xfId="12" applyNumberFormat="1" applyFont="1"/>
    <xf numFmtId="4" fontId="22" fillId="0" borderId="0" xfId="12" applyNumberFormat="1" applyFont="1"/>
    <xf numFmtId="0" fontId="3" fillId="2" borderId="0" xfId="0" applyFont="1" applyFill="1" applyAlignment="1">
      <alignment horizontal="center" vertical="center" wrapText="1"/>
    </xf>
    <xf numFmtId="3" fontId="5" fillId="0" borderId="0" xfId="0" applyNumberFormat="1" applyFont="1" applyAlignment="1">
      <alignment horizontal="center"/>
    </xf>
    <xf numFmtId="4" fontId="7" fillId="3" borderId="0" xfId="0" applyNumberFormat="1" applyFont="1" applyFill="1" applyAlignment="1">
      <alignment horizontal="center" vertical="center" wrapText="1"/>
    </xf>
    <xf numFmtId="165" fontId="7" fillId="3" borderId="0" xfId="0" applyNumberFormat="1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4" fontId="7" fillId="0" borderId="0" xfId="0" applyNumberFormat="1" applyFont="1" applyAlignment="1">
      <alignment horizontal="center" vertical="center" wrapText="1"/>
    </xf>
    <xf numFmtId="165" fontId="7" fillId="0" borderId="0" xfId="0" applyNumberFormat="1" applyFont="1" applyAlignment="1">
      <alignment horizontal="center" vertical="center" wrapText="1"/>
    </xf>
    <xf numFmtId="4" fontId="7" fillId="3" borderId="1" xfId="0" applyNumberFormat="1" applyFont="1" applyFill="1" applyBorder="1" applyAlignment="1">
      <alignment horizontal="center" vertical="center" wrapText="1"/>
    </xf>
    <xf numFmtId="165" fontId="7" fillId="3" borderId="1" xfId="0" applyNumberFormat="1" applyFont="1" applyFill="1" applyBorder="1" applyAlignment="1">
      <alignment horizontal="center" vertical="center" wrapText="1"/>
    </xf>
    <xf numFmtId="3" fontId="4" fillId="3" borderId="0" xfId="11" applyNumberFormat="1" applyFont="1" applyFill="1" applyAlignment="1">
      <alignment vertical="center" wrapText="1"/>
    </xf>
    <xf numFmtId="3" fontId="5" fillId="3" borderId="0" xfId="11" applyNumberFormat="1" applyFont="1" applyFill="1" applyAlignment="1">
      <alignment horizontal="center" vertical="center" wrapText="1"/>
    </xf>
    <xf numFmtId="3" fontId="4" fillId="0" borderId="0" xfId="11" applyNumberFormat="1" applyFont="1" applyAlignment="1">
      <alignment vertical="center" wrapText="1"/>
    </xf>
    <xf numFmtId="3" fontId="5" fillId="0" borderId="0" xfId="11" applyNumberFormat="1" applyFont="1" applyAlignment="1">
      <alignment horizontal="center" vertical="center" wrapText="1"/>
    </xf>
    <xf numFmtId="3" fontId="7" fillId="0" borderId="0" xfId="11" applyNumberFormat="1" applyFont="1" applyAlignment="1">
      <alignment horizontal="center" vertical="center" wrapText="1"/>
    </xf>
    <xf numFmtId="3" fontId="2" fillId="2" borderId="0" xfId="11" applyNumberFormat="1" applyFont="1" applyFill="1" applyAlignment="1">
      <alignment vertical="center" wrapText="1"/>
    </xf>
    <xf numFmtId="3" fontId="2" fillId="2" borderId="0" xfId="11" applyNumberFormat="1" applyFont="1" applyFill="1" applyAlignment="1">
      <alignment horizontal="center" vertical="center" wrapText="1"/>
    </xf>
    <xf numFmtId="0" fontId="5" fillId="3" borderId="0" xfId="9" applyNumberFormat="1" applyFont="1" applyFill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3" fontId="5" fillId="0" borderId="0" xfId="9" applyNumberFormat="1" applyFont="1">
      <alignment horizontal="center" vertical="center"/>
    </xf>
    <xf numFmtId="0" fontId="5" fillId="0" borderId="0" xfId="9" applyNumberFormat="1" applyFont="1" applyFill="1">
      <alignment horizontal="center" vertical="center"/>
    </xf>
    <xf numFmtId="0" fontId="16" fillId="4" borderId="0" xfId="0" applyFont="1" applyFill="1" applyAlignment="1">
      <alignment vertical="center" wrapText="1"/>
    </xf>
    <xf numFmtId="3" fontId="6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wrapText="1"/>
    </xf>
  </cellXfs>
  <cellStyles count="14">
    <cellStyle name="Normal" xfId="0" builtinId="0"/>
    <cellStyle name="Normal 2" xfId="2" xr:uid="{00000000-0005-0000-0000-000001000000}"/>
    <cellStyle name="Normal 3" xfId="3" xr:uid="{00000000-0005-0000-0000-000002000000}"/>
    <cellStyle name="Normal 4" xfId="4" xr:uid="{00000000-0005-0000-0000-000003000000}"/>
    <cellStyle name="Normal 5" xfId="8" xr:uid="{E1CA310D-DD14-4129-895B-380EF64F7C66}"/>
    <cellStyle name="Normal 6" xfId="10" xr:uid="{0A077DD8-AE00-481E-A592-2BD90F9635D6}"/>
    <cellStyle name="Normal 7" xfId="12" xr:uid="{6FEFE7E2-2C12-4EC7-A809-F21A8BCB8F34}"/>
    <cellStyle name="Normal 8" xfId="13" xr:uid="{533C29D3-31EA-4BDD-BAFB-1EBF82E1F4A2}"/>
    <cellStyle name="Vírgula" xfId="11" builtinId="3"/>
    <cellStyle name="Vírgula 2" xfId="1" xr:uid="{00000000-0005-0000-0000-000006000000}"/>
    <cellStyle name="Vírgula 2 2" xfId="6" xr:uid="{8FC3C930-BD12-4DA4-92DA-D84FD9F4100D}"/>
    <cellStyle name="Vírgula 2 3" xfId="7" xr:uid="{FE8E17BB-D2AF-4C28-9966-6918DFE2EBFC}"/>
    <cellStyle name="Vírgula 3" xfId="5" xr:uid="{88057BC5-AE5E-4A14-8B44-A364EE3288DF}"/>
    <cellStyle name="Vírgula 4" xfId="9" xr:uid="{104A99C8-9F68-463F-9C37-F6753297D63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3. Ranking'!A1"/><Relationship Id="rId2" Type="http://schemas.openxmlformats.org/officeDocument/2006/relationships/hyperlink" Target="#'1. Hist&#243;rico de Produ&#231;&#227;o'!A1"/><Relationship Id="rId1" Type="http://schemas.openxmlformats.org/officeDocument/2006/relationships/image" Target="../media/image1.jpeg"/><Relationship Id="rId5" Type="http://schemas.openxmlformats.org/officeDocument/2006/relationships/hyperlink" Target="#'2. Dados de Produ&#231;&#227;o'!A1"/><Relationship Id="rId4" Type="http://schemas.openxmlformats.org/officeDocument/2006/relationships/hyperlink" Target="#'4. Pandemia_Covid-19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Lista de Tabela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Lista de Tabela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Lista de Tabela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371475</xdr:colOff>
      <xdr:row>48</xdr:row>
      <xdr:rowOff>40821</xdr:rowOff>
    </xdr:to>
    <xdr:sp macro="" textlink="">
      <xdr:nvSpPr>
        <xdr:cNvPr id="63" name="Rectangle 26">
          <a:extLst>
            <a:ext uri="{FF2B5EF4-FFF2-40B4-BE49-F238E27FC236}">
              <a16:creationId xmlns:a16="http://schemas.microsoft.com/office/drawing/2014/main" id="{3200D256-C408-436B-B74C-3F06E87DD85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8128796" cy="9266464"/>
        </a:xfrm>
        <a:prstGeom prst="rect">
          <a:avLst/>
        </a:prstGeom>
        <a:gradFill rotWithShape="1">
          <a:gsLst>
            <a:gs pos="0">
              <a:srgbClr val="548DD4"/>
            </a:gs>
            <a:gs pos="100000">
              <a:srgbClr val="FFFFFF"/>
            </a:gs>
          </a:gsLst>
          <a:path path="rect">
            <a:fillToRect l="100000" b="100000"/>
          </a:path>
        </a:gradFill>
        <a:ln w="9525">
          <a:noFill/>
          <a:miter lim="800000"/>
          <a:headEnd/>
          <a:tailEnd/>
        </a:ln>
      </xdr:spPr>
    </xdr:sp>
    <xdr:clientData/>
  </xdr:twoCellAnchor>
  <xdr:twoCellAnchor>
    <xdr:from>
      <xdr:col>25</xdr:col>
      <xdr:colOff>86591</xdr:colOff>
      <xdr:row>0</xdr:row>
      <xdr:rowOff>9525</xdr:rowOff>
    </xdr:from>
    <xdr:to>
      <xdr:col>29</xdr:col>
      <xdr:colOff>467591</xdr:colOff>
      <xdr:row>3</xdr:row>
      <xdr:rowOff>16185</xdr:rowOff>
    </xdr:to>
    <xdr:sp macro="" textlink="">
      <xdr:nvSpPr>
        <xdr:cNvPr id="4097" name="Rectangle 23">
          <a:extLs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>
          <a:spLocks noChangeArrowheads="1"/>
        </xdr:cNvSpPr>
      </xdr:nvSpPr>
      <xdr:spPr bwMode="auto">
        <a:xfrm>
          <a:off x="15240000" y="9525"/>
          <a:ext cx="2805546" cy="664751"/>
        </a:xfrm>
        <a:prstGeom prst="rect">
          <a:avLst/>
        </a:prstGeom>
        <a:solidFill>
          <a:srgbClr val="548DD4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pt-BR" sz="1000" b="1" i="0" u="none" strike="noStrike" baseline="0">
              <a:solidFill>
                <a:srgbClr val="FFFFFF"/>
              </a:solidFill>
              <a:latin typeface="Cambria"/>
            </a:rPr>
            <a:t> </a:t>
          </a:r>
          <a:r>
            <a:rPr lang="pt-BR" sz="1300" b="1" i="0" u="none" strike="noStrike" baseline="0">
              <a:solidFill>
                <a:srgbClr val="FFFFFF"/>
              </a:solidFill>
              <a:latin typeface="Cambria"/>
            </a:rPr>
            <a:t>[Junho de 2024/ Número 166]</a:t>
          </a:r>
          <a:endParaRPr lang="pt-BR" sz="13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25</xdr:col>
      <xdr:colOff>520172</xdr:colOff>
      <xdr:row>3</xdr:row>
      <xdr:rowOff>16182</xdr:rowOff>
    </xdr:from>
    <xdr:to>
      <xdr:col>29</xdr:col>
      <xdr:colOff>452252</xdr:colOff>
      <xdr:row>24</xdr:row>
      <xdr:rowOff>-1</xdr:rowOff>
    </xdr:to>
    <xdr:pic>
      <xdr:nvPicPr>
        <xdr:cNvPr id="4" name="j0175886.t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673581" y="674273"/>
          <a:ext cx="2356626" cy="3984317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25</xdr:col>
      <xdr:colOff>410617</xdr:colOff>
      <xdr:row>23</xdr:row>
      <xdr:rowOff>108857</xdr:rowOff>
    </xdr:from>
    <xdr:to>
      <xdr:col>29</xdr:col>
      <xdr:colOff>403412</xdr:colOff>
      <xdr:row>48</xdr:row>
      <xdr:rowOff>1</xdr:rowOff>
    </xdr:to>
    <xdr:sp macro="" textlink="">
      <xdr:nvSpPr>
        <xdr:cNvPr id="4100" name="Text Box 25">
          <a:extLs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 txBox="1">
          <a:spLocks noChangeArrowheads="1"/>
        </xdr:cNvSpPr>
      </xdr:nvSpPr>
      <xdr:spPr bwMode="auto">
        <a:xfrm>
          <a:off x="15718653" y="4572000"/>
          <a:ext cx="2442080" cy="4653644"/>
        </a:xfrm>
        <a:prstGeom prst="rect">
          <a:avLst/>
        </a:prstGeom>
        <a:solidFill>
          <a:srgbClr val="548DD4"/>
        </a:solidFill>
        <a:ln w="9525">
          <a:noFill/>
          <a:miter lim="800000"/>
          <a:headEnd/>
          <a:tailEnd/>
        </a:ln>
      </xdr:spPr>
      <xdr:txBody>
        <a:bodyPr vertOverflow="clip" wrap="square" lIns="182880" tIns="91440" rIns="182880" bIns="91440" anchor="t" upright="1"/>
        <a:lstStyle/>
        <a:p>
          <a:pPr algn="l" rtl="0">
            <a:defRPr sz="1000"/>
          </a:pPr>
          <a:endParaRPr lang="pt-BR" sz="18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pt-BR" sz="14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pt-BR" sz="14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58462</xdr:colOff>
      <xdr:row>8</xdr:row>
      <xdr:rowOff>149598</xdr:rowOff>
    </xdr:from>
    <xdr:to>
      <xdr:col>10</xdr:col>
      <xdr:colOff>333835</xdr:colOff>
      <xdr:row>10</xdr:row>
      <xdr:rowOff>25773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277662" y="1749798"/>
          <a:ext cx="5152173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1.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petróleo – óleo e condensado (Mbbl/d)</a:t>
          </a:r>
        </a:p>
        <a:p>
          <a:pPr algn="l"/>
          <a:endParaRPr lang="pt-BR" sz="1200"/>
        </a:p>
      </xdr:txBody>
    </xdr:sp>
    <xdr:clientData/>
  </xdr:twoCellAnchor>
  <xdr:twoCellAnchor>
    <xdr:from>
      <xdr:col>2</xdr:col>
      <xdr:colOff>58462</xdr:colOff>
      <xdr:row>10</xdr:row>
      <xdr:rowOff>16248</xdr:rowOff>
    </xdr:from>
    <xdr:to>
      <xdr:col>10</xdr:col>
      <xdr:colOff>420222</xdr:colOff>
      <xdr:row>11</xdr:row>
      <xdr:rowOff>82923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277662" y="199744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2.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gás natural – GASA e GASN (MMm</a:t>
          </a:r>
          <a:r>
            <a:rPr lang="pt-BR" sz="12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algn="l"/>
          <a:endParaRPr lang="pt-BR" sz="1200"/>
        </a:p>
      </xdr:txBody>
    </xdr:sp>
    <xdr:clientData/>
  </xdr:twoCellAnchor>
  <xdr:twoCellAnchor>
    <xdr:from>
      <xdr:col>2</xdr:col>
      <xdr:colOff>58462</xdr:colOff>
      <xdr:row>11</xdr:row>
      <xdr:rowOff>92448</xdr:rowOff>
    </xdr:from>
    <xdr:to>
      <xdr:col>10</xdr:col>
      <xdr:colOff>420222</xdr:colOff>
      <xdr:row>12</xdr:row>
      <xdr:rowOff>159123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277662" y="226414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3.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Histórico da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movimentação da gás natural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(Mm³/d)</a:t>
          </a:r>
        </a:p>
        <a:p>
          <a:pPr algn="l"/>
          <a:endParaRPr lang="pt-BR" sz="1200"/>
        </a:p>
      </xdr:txBody>
    </xdr:sp>
    <xdr:clientData/>
  </xdr:twoCellAnchor>
  <xdr:twoCellAnchor>
    <xdr:from>
      <xdr:col>2</xdr:col>
      <xdr:colOff>58462</xdr:colOff>
      <xdr:row>12</xdr:row>
      <xdr:rowOff>149597</xdr:rowOff>
    </xdr:from>
    <xdr:to>
      <xdr:col>10</xdr:col>
      <xdr:colOff>420222</xdr:colOff>
      <xdr:row>14</xdr:row>
      <xdr:rowOff>25772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277662" y="2511797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4.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Histórico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de produção de petróleo e gás natural (Mboe/d)</a:t>
          </a: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200"/>
            <a:t>'</a:t>
          </a:r>
        </a:p>
      </xdr:txBody>
    </xdr:sp>
    <xdr:clientData/>
  </xdr:twoCellAnchor>
  <xdr:twoCellAnchor>
    <xdr:from>
      <xdr:col>2</xdr:col>
      <xdr:colOff>58462</xdr:colOff>
      <xdr:row>15</xdr:row>
      <xdr:rowOff>159122</xdr:rowOff>
    </xdr:from>
    <xdr:to>
      <xdr:col>10</xdr:col>
      <xdr:colOff>420222</xdr:colOff>
      <xdr:row>17</xdr:row>
      <xdr:rowOff>35297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277662" y="309282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5.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estado</a:t>
          </a:r>
        </a:p>
        <a:p>
          <a:pPr algn="l"/>
          <a:endParaRPr lang="pt-BR" sz="1200"/>
        </a:p>
      </xdr:txBody>
    </xdr:sp>
    <xdr:clientData/>
  </xdr:twoCellAnchor>
  <xdr:twoCellAnchor>
    <xdr:from>
      <xdr:col>2</xdr:col>
      <xdr:colOff>58462</xdr:colOff>
      <xdr:row>17</xdr:row>
      <xdr:rowOff>63872</xdr:rowOff>
    </xdr:from>
    <xdr:to>
      <xdr:col>10</xdr:col>
      <xdr:colOff>420222</xdr:colOff>
      <xdr:row>18</xdr:row>
      <xdr:rowOff>130547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277662" y="337857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6.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bacia</a:t>
          </a:r>
        </a:p>
        <a:p>
          <a:pPr algn="l"/>
          <a:endParaRPr lang="pt-BR" sz="1200"/>
        </a:p>
      </xdr:txBody>
    </xdr:sp>
    <xdr:clientData/>
  </xdr:twoCellAnchor>
  <xdr:twoCellAnchor>
    <xdr:from>
      <xdr:col>2</xdr:col>
      <xdr:colOff>58462</xdr:colOff>
      <xdr:row>18</xdr:row>
      <xdr:rowOff>140072</xdr:rowOff>
    </xdr:from>
    <xdr:to>
      <xdr:col>10</xdr:col>
      <xdr:colOff>420222</xdr:colOff>
      <xdr:row>20</xdr:row>
      <xdr:rowOff>16247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277662" y="364527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7.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operador</a:t>
          </a:r>
        </a:p>
        <a:p>
          <a:endParaRPr lang="pt-BR" sz="1200"/>
        </a:p>
      </xdr:txBody>
    </xdr:sp>
    <xdr:clientData/>
  </xdr:twoCellAnchor>
  <xdr:twoCellAnchor>
    <xdr:from>
      <xdr:col>2</xdr:col>
      <xdr:colOff>58462</xdr:colOff>
      <xdr:row>20</xdr:row>
      <xdr:rowOff>16247</xdr:rowOff>
    </xdr:from>
    <xdr:to>
      <xdr:col>10</xdr:col>
      <xdr:colOff>420222</xdr:colOff>
      <xdr:row>21</xdr:row>
      <xdr:rowOff>82922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77662" y="3902447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8.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concessionário</a:t>
          </a:r>
        </a:p>
        <a:p>
          <a:endParaRPr lang="pt-BR" sz="1200"/>
        </a:p>
      </xdr:txBody>
    </xdr:sp>
    <xdr:clientData/>
  </xdr:twoCellAnchor>
  <xdr:twoCellAnchor>
    <xdr:from>
      <xdr:col>2</xdr:col>
      <xdr:colOff>58462</xdr:colOff>
      <xdr:row>21</xdr:row>
      <xdr:rowOff>82922</xdr:rowOff>
    </xdr:from>
    <xdr:to>
      <xdr:col>10</xdr:col>
      <xdr:colOff>420222</xdr:colOff>
      <xdr:row>22</xdr:row>
      <xdr:rowOff>149597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77662" y="415962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9.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Movimentação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de gás natural por destinação (Mm³/d)</a:t>
          </a: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2</xdr:col>
      <xdr:colOff>48863</xdr:colOff>
      <xdr:row>22</xdr:row>
      <xdr:rowOff>159123</xdr:rowOff>
    </xdr:from>
    <xdr:to>
      <xdr:col>10</xdr:col>
      <xdr:colOff>410623</xdr:colOff>
      <xdr:row>24</xdr:row>
      <xdr:rowOff>35298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268063" y="442632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200" b="1" i="0">
              <a:solidFill>
                <a:schemeClr val="dk1"/>
              </a:solidFill>
              <a:latin typeface="+mn-lt"/>
              <a:ea typeface="+mn-ea"/>
              <a:cs typeface="+mn-cs"/>
            </a:rPr>
            <a:t>Tabela 10.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Distribuição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da produção dos campos do Pré-sal¹</a:t>
          </a: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2</xdr:col>
      <xdr:colOff>48863</xdr:colOff>
      <xdr:row>28</xdr:row>
      <xdr:rowOff>159123</xdr:rowOff>
    </xdr:from>
    <xdr:to>
      <xdr:col>10</xdr:col>
      <xdr:colOff>410623</xdr:colOff>
      <xdr:row>30</xdr:row>
      <xdr:rowOff>35298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268063" y="556932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11.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Os 30 poços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com maior produção de petróleo (bbl/d)</a:t>
          </a:r>
        </a:p>
        <a:p>
          <a:endParaRPr lang="pt-BR" sz="1200"/>
        </a:p>
      </xdr:txBody>
    </xdr:sp>
    <xdr:clientData/>
  </xdr:twoCellAnchor>
  <xdr:twoCellAnchor>
    <xdr:from>
      <xdr:col>2</xdr:col>
      <xdr:colOff>48863</xdr:colOff>
      <xdr:row>30</xdr:row>
      <xdr:rowOff>35298</xdr:rowOff>
    </xdr:from>
    <xdr:to>
      <xdr:col>10</xdr:col>
      <xdr:colOff>410623</xdr:colOff>
      <xdr:row>31</xdr:row>
      <xdr:rowOff>101973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268063" y="582649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12.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Os 30 poços com maior produção de gás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natural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 (Mm³/d)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2</xdr:col>
      <xdr:colOff>48863</xdr:colOff>
      <xdr:row>31</xdr:row>
      <xdr:rowOff>101973</xdr:rowOff>
    </xdr:from>
    <xdr:to>
      <xdr:col>10</xdr:col>
      <xdr:colOff>410623</xdr:colOff>
      <xdr:row>32</xdr:row>
      <xdr:rowOff>168648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1268063" y="608367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13.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Os 30 poços com maior produção total (boe/d)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2</xdr:col>
      <xdr:colOff>48863</xdr:colOff>
      <xdr:row>32</xdr:row>
      <xdr:rowOff>159123</xdr:rowOff>
    </xdr:from>
    <xdr:to>
      <xdr:col>10</xdr:col>
      <xdr:colOff>410623</xdr:colOff>
      <xdr:row>34</xdr:row>
      <xdr:rowOff>35298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268063" y="633132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14.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Os 30 poços  terrestres com maior produção de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petróleo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(bbl/d)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2</xdr:col>
      <xdr:colOff>48863</xdr:colOff>
      <xdr:row>34</xdr:row>
      <xdr:rowOff>35298</xdr:rowOff>
    </xdr:from>
    <xdr:to>
      <xdr:col>10</xdr:col>
      <xdr:colOff>410623</xdr:colOff>
      <xdr:row>35</xdr:row>
      <xdr:rowOff>101973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1268063" y="658849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15.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Os 30 poços  terrestres com maior produção de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gás natural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(Mm³/d)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2</xdr:col>
      <xdr:colOff>39412</xdr:colOff>
      <xdr:row>35</xdr:row>
      <xdr:rowOff>101974</xdr:rowOff>
    </xdr:from>
    <xdr:to>
      <xdr:col>10</xdr:col>
      <xdr:colOff>401172</xdr:colOff>
      <xdr:row>36</xdr:row>
      <xdr:rowOff>168649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258612" y="6845674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16.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As 30 instalações com maior produção de petróleo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(bbl/d)</a:t>
          </a: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2</xdr:col>
      <xdr:colOff>39412</xdr:colOff>
      <xdr:row>36</xdr:row>
      <xdr:rowOff>168649</xdr:rowOff>
    </xdr:from>
    <xdr:to>
      <xdr:col>10</xdr:col>
      <xdr:colOff>401172</xdr:colOff>
      <xdr:row>38</xdr:row>
      <xdr:rowOff>44824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1258612" y="7102849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17.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As 30 instalações com maior produção de gás natural (Mm</a:t>
          </a:r>
          <a:r>
            <a:rPr lang="pt-BR" sz="12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2</xdr:col>
      <xdr:colOff>39412</xdr:colOff>
      <xdr:row>38</xdr:row>
      <xdr:rowOff>44824</xdr:rowOff>
    </xdr:from>
    <xdr:to>
      <xdr:col>10</xdr:col>
      <xdr:colOff>401172</xdr:colOff>
      <xdr:row>39</xdr:row>
      <xdr:rowOff>111499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1258612" y="7360024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Tabela 18. 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	Os 20 campos com maior queima este mês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0</xdr:col>
      <xdr:colOff>552450</xdr:colOff>
      <xdr:row>7</xdr:row>
      <xdr:rowOff>6723</xdr:rowOff>
    </xdr:from>
    <xdr:to>
      <xdr:col>6</xdr:col>
      <xdr:colOff>57150</xdr:colOff>
      <xdr:row>8</xdr:row>
      <xdr:rowOff>73398</xdr:rowOff>
    </xdr:to>
    <xdr:sp macro="" textlink="">
      <xdr:nvSpPr>
        <xdr:cNvPr id="37" name="CaixaDeTexto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552450" y="1416423"/>
          <a:ext cx="3162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200" b="1"/>
            <a:t>1.</a:t>
          </a:r>
          <a:r>
            <a:rPr lang="pt-BR" sz="1200" b="1" baseline="0"/>
            <a:t> HISTÓRICO DA PRODUÇÃO NACIONAL</a:t>
          </a:r>
        </a:p>
        <a:p>
          <a:endParaRPr lang="pt-BR" sz="1200"/>
        </a:p>
      </xdr:txBody>
    </xdr:sp>
    <xdr:clientData/>
  </xdr:twoCellAnchor>
  <xdr:twoCellAnchor>
    <xdr:from>
      <xdr:col>0</xdr:col>
      <xdr:colOff>552450</xdr:colOff>
      <xdr:row>27</xdr:row>
      <xdr:rowOff>16248</xdr:rowOff>
    </xdr:from>
    <xdr:to>
      <xdr:col>4</xdr:col>
      <xdr:colOff>513156</xdr:colOff>
      <xdr:row>28</xdr:row>
      <xdr:rowOff>82923</xdr:rowOff>
    </xdr:to>
    <xdr:sp macro="" textlink="">
      <xdr:nvSpPr>
        <xdr:cNvPr id="39" name="CaixaDeText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552450" y="5235948"/>
          <a:ext cx="239910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200" b="1"/>
            <a:t>3. RANKING DA PRODUÇÃO</a:t>
          </a:r>
          <a:endParaRPr lang="pt-BR" sz="1200" b="1" baseline="0"/>
        </a:p>
        <a:p>
          <a:endParaRPr lang="pt-BR" sz="1200" b="1"/>
        </a:p>
      </xdr:txBody>
    </xdr:sp>
    <xdr:clientData/>
  </xdr:twoCellAnchor>
  <xdr:twoCellAnchor>
    <xdr:from>
      <xdr:col>22</xdr:col>
      <xdr:colOff>372669</xdr:colOff>
      <xdr:row>45</xdr:row>
      <xdr:rowOff>28494</xdr:rowOff>
    </xdr:from>
    <xdr:to>
      <xdr:col>27</xdr:col>
      <xdr:colOff>306435</xdr:colOff>
      <xdr:row>48</xdr:row>
      <xdr:rowOff>9444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3843740" y="8682637"/>
          <a:ext cx="2995374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Fonte: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 ANP/SDP/SIGEP</a:t>
          </a:r>
        </a:p>
        <a:p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Junho</a:t>
          </a:r>
          <a:r>
            <a:rPr lang="pt-BR" sz="1200">
              <a:solidFill>
                <a:schemeClr val="dk1"/>
              </a:solidFill>
              <a:latin typeface="+mn-lt"/>
              <a:ea typeface="+mn-ea"/>
              <a:cs typeface="+mn-cs"/>
            </a:rPr>
            <a:t> / 2024</a:t>
          </a:r>
        </a:p>
        <a:p>
          <a:endParaRPr lang="pt-BR" sz="1200"/>
        </a:p>
      </xdr:txBody>
    </xdr:sp>
    <xdr:clientData/>
  </xdr:twoCellAnchor>
  <xdr:twoCellAnchor>
    <xdr:from>
      <xdr:col>0</xdr:col>
      <xdr:colOff>9524</xdr:colOff>
      <xdr:row>0</xdr:row>
      <xdr:rowOff>1</xdr:rowOff>
    </xdr:from>
    <xdr:to>
      <xdr:col>29</xdr:col>
      <xdr:colOff>484908</xdr:colOff>
      <xdr:row>48</xdr:row>
      <xdr:rowOff>13608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9524" y="1"/>
          <a:ext cx="18053339" cy="9244198"/>
        </a:xfrm>
        <a:prstGeom prst="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>
            <a:noFill/>
          </a:endParaRPr>
        </a:p>
      </xdr:txBody>
    </xdr:sp>
    <xdr:clientData/>
  </xdr:twoCellAnchor>
  <xdr:twoCellAnchor>
    <xdr:from>
      <xdr:col>12</xdr:col>
      <xdr:colOff>314325</xdr:colOff>
      <xdr:row>7</xdr:row>
      <xdr:rowOff>0</xdr:rowOff>
    </xdr:from>
    <xdr:to>
      <xdr:col>18</xdr:col>
      <xdr:colOff>590550</xdr:colOff>
      <xdr:row>17</xdr:row>
      <xdr:rowOff>47625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7629525" y="1409700"/>
          <a:ext cx="3933825" cy="195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12</xdr:col>
      <xdr:colOff>248844</xdr:colOff>
      <xdr:row>4</xdr:row>
      <xdr:rowOff>113178</xdr:rowOff>
    </xdr:from>
    <xdr:to>
      <xdr:col>23</xdr:col>
      <xdr:colOff>495300</xdr:colOff>
      <xdr:row>45</xdr:row>
      <xdr:rowOff>114300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7564044" y="951378"/>
          <a:ext cx="6952056" cy="78116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rtl="0"/>
          <a:r>
            <a:rPr lang="pt-BR" sz="15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Lista de Abreviaturas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m</a:t>
          </a:r>
          <a:r>
            <a:rPr lang="pt-BR" sz="1100" b="1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metros cúbicos</a:t>
          </a:r>
        </a:p>
        <a:p>
          <a:endParaRPr lang="pt-BR" sz="3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bbl: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barris (1m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≈ 6,28981 bbl)</a:t>
          </a:r>
        </a:p>
        <a:p>
          <a:endParaRPr lang="pt-BR" sz="3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boe: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barris de óleo equivalente (1.000m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de gás ≈ 6,28981 bbl)</a:t>
          </a:r>
        </a:p>
        <a:p>
          <a:endParaRPr lang="pt-BR" sz="3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M: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milhares</a:t>
          </a:r>
        </a:p>
        <a:p>
          <a:endParaRPr lang="pt-BR" sz="3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MM: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milhões</a:t>
          </a:r>
        </a:p>
        <a:p>
          <a:endParaRPr lang="pt-BR" sz="3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dia</a:t>
          </a:r>
        </a:p>
        <a:p>
          <a:endParaRPr lang="pt-BR" sz="3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TLD: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Teste de Longa Duração</a:t>
          </a:r>
        </a:p>
        <a:p>
          <a:endParaRPr lang="pt-BR" sz="3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UEP: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Unidade Estacionária de Produção</a:t>
          </a:r>
        </a:p>
        <a:p>
          <a:endParaRPr lang="pt-BR" sz="3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GASA: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Gás Natural Associado</a:t>
          </a:r>
        </a:p>
        <a:p>
          <a:endParaRPr lang="pt-BR" sz="3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GASN: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Gás Natural Não Associado</a:t>
          </a:r>
        </a:p>
        <a:p>
          <a:endParaRPr lang="pt-BR" sz="3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AnC: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Área não Contratada</a:t>
          </a:r>
        </a:p>
        <a:p>
          <a:endParaRPr lang="pt-BR" sz="3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AIP: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Acordo de Individualização da Produção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500" b="1">
              <a:solidFill>
                <a:schemeClr val="dk1"/>
              </a:solidFill>
              <a:latin typeface="+mn-lt"/>
              <a:ea typeface="+mn-ea"/>
              <a:cs typeface="+mn-cs"/>
            </a:rPr>
            <a:t>Notas</a:t>
          </a:r>
          <a:r>
            <a:rPr lang="pt-BR" sz="15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Explicativas</a:t>
          </a:r>
          <a:endParaRPr lang="pt-BR" sz="15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¹   “Pré-sal” refere-se à produção de hidrocarbonetos realizada no horizonte geológico denominado “pré-sal”, em campos localizados na área definida no inciso IV do caput do art. 2º da Lei nº 12.351, de 2010.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Para fins deste Boletim, o termo “pós-sal” refere-se à produção de hidrocarbonetos, em diversos horizontes cronoestratigráficos, com exceção da realizada no horizonte geológico denominado pré-sal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O 'Campo' "AnC_Lula", presente neste boletim, refere-se a uma jazida compartilhada entre o campo de Lula e área não contratada da União, e encontra-se em Acordo de Individualização da Produção (AIP).</a:t>
          </a:r>
          <a:endParaRPr lang="pt-BR">
            <a:effectLst/>
          </a:endParaRP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Áreas com Acumulações Marginais: Área de Concessão com descobertas conhecidas de petróleo e/ou gás natural, onde não houve produção ou a produção foi interrompida ou foi solicitada a terminação antecipada do contrato por falta de interesse econômico.</a:t>
          </a:r>
          <a:endParaRPr lang="pt-BR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É permitida a reprodução do conteúdo deste Boletim, desde que obrigatoriamente citada a fonte. Reproduções para fins comerciais são rigorosamente proibidas.</a:t>
          </a:r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>
            <a:latin typeface="+mj-lt"/>
          </a:endParaRPr>
        </a:p>
      </xdr:txBody>
    </xdr:sp>
    <xdr:clientData/>
  </xdr:twoCellAnchor>
  <xdr:twoCellAnchor>
    <xdr:from>
      <xdr:col>0</xdr:col>
      <xdr:colOff>552450</xdr:colOff>
      <xdr:row>57</xdr:row>
      <xdr:rowOff>0</xdr:rowOff>
    </xdr:from>
    <xdr:to>
      <xdr:col>5</xdr:col>
      <xdr:colOff>247650</xdr:colOff>
      <xdr:row>58</xdr:row>
      <xdr:rowOff>66675</xdr:rowOff>
    </xdr:to>
    <xdr:sp macro="" textlink="">
      <xdr:nvSpPr>
        <xdr:cNvPr id="35" name="CaixaDeTexto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F6B522-45C2-4263-B7FC-5AA06E18261E}"/>
            </a:ext>
          </a:extLst>
        </xdr:cNvPr>
        <xdr:cNvSpPr txBox="1"/>
      </xdr:nvSpPr>
      <xdr:spPr>
        <a:xfrm>
          <a:off x="552450" y="10934700"/>
          <a:ext cx="27432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 b="1"/>
        </a:p>
      </xdr:txBody>
    </xdr:sp>
    <xdr:clientData/>
  </xdr:twoCellAnchor>
  <xdr:twoCellAnchor>
    <xdr:from>
      <xdr:col>2</xdr:col>
      <xdr:colOff>39412</xdr:colOff>
      <xdr:row>58</xdr:row>
      <xdr:rowOff>63874</xdr:rowOff>
    </xdr:from>
    <xdr:to>
      <xdr:col>10</xdr:col>
      <xdr:colOff>401172</xdr:colOff>
      <xdr:row>59</xdr:row>
      <xdr:rowOff>130549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CA655674-0F1A-4EE0-A83D-0B42DABC0C8C}"/>
            </a:ext>
          </a:extLst>
        </xdr:cNvPr>
        <xdr:cNvSpPr txBox="1"/>
      </xdr:nvSpPr>
      <xdr:spPr>
        <a:xfrm>
          <a:off x="1258612" y="11189074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200"/>
        </a:p>
      </xdr:txBody>
    </xdr:sp>
    <xdr:clientData/>
  </xdr:twoCellAnchor>
  <xdr:twoCellAnchor>
    <xdr:from>
      <xdr:col>2</xdr:col>
      <xdr:colOff>39412</xdr:colOff>
      <xdr:row>59</xdr:row>
      <xdr:rowOff>130549</xdr:rowOff>
    </xdr:from>
    <xdr:to>
      <xdr:col>10</xdr:col>
      <xdr:colOff>401172</xdr:colOff>
      <xdr:row>61</xdr:row>
      <xdr:rowOff>6724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296E15DD-0973-42F1-A0F4-E0EA9D4B8C7D}"/>
            </a:ext>
          </a:extLst>
        </xdr:cNvPr>
        <xdr:cNvSpPr txBox="1"/>
      </xdr:nvSpPr>
      <xdr:spPr>
        <a:xfrm>
          <a:off x="1258612" y="11446249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/>
        </a:p>
      </xdr:txBody>
    </xdr:sp>
    <xdr:clientData/>
  </xdr:twoCellAnchor>
  <xdr:twoCellAnchor>
    <xdr:from>
      <xdr:col>0</xdr:col>
      <xdr:colOff>553645</xdr:colOff>
      <xdr:row>0</xdr:row>
      <xdr:rowOff>9524</xdr:rowOff>
    </xdr:from>
    <xdr:to>
      <xdr:col>24</xdr:col>
      <xdr:colOff>258370</xdr:colOff>
      <xdr:row>6</xdr:row>
      <xdr:rowOff>57150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553645" y="9524"/>
          <a:ext cx="14335125" cy="1266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2500" b="1">
              <a:solidFill>
                <a:schemeClr val="dk1"/>
              </a:solidFill>
              <a:latin typeface="+mn-lt"/>
              <a:ea typeface="+mn-ea"/>
              <a:cs typeface="+mn-cs"/>
            </a:rPr>
            <a:t>28/06/2024   |   </a:t>
          </a:r>
          <a:r>
            <a:rPr lang="pt-BR" sz="2500" b="0">
              <a:solidFill>
                <a:schemeClr val="dk1"/>
              </a:solidFill>
              <a:latin typeface="+mn-lt"/>
              <a:ea typeface="+mn-ea"/>
              <a:cs typeface="+mn-cs"/>
            </a:rPr>
            <a:t>Boletim da Produção de Petróleo e Gás Natural – Circulação Externa</a:t>
          </a:r>
        </a:p>
        <a:p>
          <a:endParaRPr lang="pt-BR" sz="7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5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Superintendência de Desenvolvimento e Produção - SDP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Lista de Tabelas</a:t>
          </a:r>
          <a:endParaRPr lang="pt-BR" sz="15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342900</xdr:colOff>
      <xdr:row>39</xdr:row>
      <xdr:rowOff>101973</xdr:rowOff>
    </xdr:from>
    <xdr:to>
      <xdr:col>11</xdr:col>
      <xdr:colOff>257174</xdr:colOff>
      <xdr:row>42</xdr:row>
      <xdr:rowOff>133350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687F723C-0560-4630-8BE7-50DB1B5BA84F}"/>
            </a:ext>
          </a:extLst>
        </xdr:cNvPr>
        <xdr:cNvSpPr txBox="1"/>
      </xdr:nvSpPr>
      <xdr:spPr>
        <a:xfrm>
          <a:off x="2171700" y="7607673"/>
          <a:ext cx="4791074" cy="602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/>
        </a:p>
      </xdr:txBody>
    </xdr:sp>
    <xdr:clientData/>
  </xdr:twoCellAnchor>
  <xdr:twoCellAnchor>
    <xdr:from>
      <xdr:col>2</xdr:col>
      <xdr:colOff>57150</xdr:colOff>
      <xdr:row>39</xdr:row>
      <xdr:rowOff>101973</xdr:rowOff>
    </xdr:from>
    <xdr:to>
      <xdr:col>3</xdr:col>
      <xdr:colOff>371475</xdr:colOff>
      <xdr:row>42</xdr:row>
      <xdr:rowOff>9525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162C6DC0-51B4-42E9-A56C-7A15979F3553}"/>
            </a:ext>
          </a:extLst>
        </xdr:cNvPr>
        <xdr:cNvSpPr txBox="1"/>
      </xdr:nvSpPr>
      <xdr:spPr>
        <a:xfrm>
          <a:off x="1276350" y="7607673"/>
          <a:ext cx="923925" cy="479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 b="1"/>
        </a:p>
      </xdr:txBody>
    </xdr:sp>
    <xdr:clientData/>
  </xdr:twoCellAnchor>
  <xdr:twoCellAnchor>
    <xdr:from>
      <xdr:col>3</xdr:col>
      <xdr:colOff>342900</xdr:colOff>
      <xdr:row>41</xdr:row>
      <xdr:rowOff>140073</xdr:rowOff>
    </xdr:from>
    <xdr:to>
      <xdr:col>11</xdr:col>
      <xdr:colOff>257174</xdr:colOff>
      <xdr:row>44</xdr:row>
      <xdr:rowOff>57150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574C2A3A-F977-4E5E-A5BE-C35F81ADA9CD}"/>
            </a:ext>
          </a:extLst>
        </xdr:cNvPr>
        <xdr:cNvSpPr txBox="1"/>
      </xdr:nvSpPr>
      <xdr:spPr>
        <a:xfrm>
          <a:off x="2171700" y="8026773"/>
          <a:ext cx="4791074" cy="488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600"/>
        </a:p>
      </xdr:txBody>
    </xdr:sp>
    <xdr:clientData/>
  </xdr:twoCellAnchor>
  <xdr:twoCellAnchor>
    <xdr:from>
      <xdr:col>2</xdr:col>
      <xdr:colOff>57150</xdr:colOff>
      <xdr:row>41</xdr:row>
      <xdr:rowOff>149598</xdr:rowOff>
    </xdr:from>
    <xdr:to>
      <xdr:col>3</xdr:col>
      <xdr:colOff>371475</xdr:colOff>
      <xdr:row>44</xdr:row>
      <xdr:rowOff>57150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50F3882F-1007-46EF-9E43-E58130F542FF}"/>
            </a:ext>
          </a:extLst>
        </xdr:cNvPr>
        <xdr:cNvSpPr txBox="1"/>
      </xdr:nvSpPr>
      <xdr:spPr>
        <a:xfrm>
          <a:off x="1276350" y="8036298"/>
          <a:ext cx="923925" cy="479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 b="1"/>
        </a:p>
      </xdr:txBody>
    </xdr:sp>
    <xdr:clientData/>
  </xdr:twoCellAnchor>
  <xdr:twoCellAnchor>
    <xdr:from>
      <xdr:col>3</xdr:col>
      <xdr:colOff>342900</xdr:colOff>
      <xdr:row>43</xdr:row>
      <xdr:rowOff>178173</xdr:rowOff>
    </xdr:from>
    <xdr:to>
      <xdr:col>11</xdr:col>
      <xdr:colOff>257174</xdr:colOff>
      <xdr:row>46</xdr:row>
      <xdr:rowOff>104775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C8E906BB-E181-4AB9-9AE1-0CE471ED115B}"/>
            </a:ext>
          </a:extLst>
        </xdr:cNvPr>
        <xdr:cNvSpPr txBox="1"/>
      </xdr:nvSpPr>
      <xdr:spPr>
        <a:xfrm>
          <a:off x="2171700" y="8445873"/>
          <a:ext cx="4791074" cy="49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/>
        </a:p>
      </xdr:txBody>
    </xdr:sp>
    <xdr:clientData/>
  </xdr:twoCellAnchor>
  <xdr:twoCellAnchor>
    <xdr:from>
      <xdr:col>2</xdr:col>
      <xdr:colOff>66675</xdr:colOff>
      <xdr:row>43</xdr:row>
      <xdr:rowOff>159123</xdr:rowOff>
    </xdr:from>
    <xdr:to>
      <xdr:col>3</xdr:col>
      <xdr:colOff>381000</xdr:colOff>
      <xdr:row>46</xdr:row>
      <xdr:rowOff>66675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C69BAC68-6316-4980-B2ED-109416FBB4DF}"/>
            </a:ext>
          </a:extLst>
        </xdr:cNvPr>
        <xdr:cNvSpPr txBox="1"/>
      </xdr:nvSpPr>
      <xdr:spPr>
        <a:xfrm>
          <a:off x="1285875" y="8426823"/>
          <a:ext cx="923925" cy="479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 b="1"/>
        </a:p>
      </xdr:txBody>
    </xdr:sp>
    <xdr:clientData/>
  </xdr:twoCellAnchor>
  <xdr:twoCellAnchor>
    <xdr:from>
      <xdr:col>0</xdr:col>
      <xdr:colOff>552450</xdr:colOff>
      <xdr:row>14</xdr:row>
      <xdr:rowOff>35298</xdr:rowOff>
    </xdr:from>
    <xdr:to>
      <xdr:col>6</xdr:col>
      <xdr:colOff>57150</xdr:colOff>
      <xdr:row>15</xdr:row>
      <xdr:rowOff>101973</xdr:rowOff>
    </xdr:to>
    <xdr:sp macro="" textlink="">
      <xdr:nvSpPr>
        <xdr:cNvPr id="52" name="CaixaDeTexto 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8AFECEC-6918-451B-8685-4FF26042C758}"/>
            </a:ext>
          </a:extLst>
        </xdr:cNvPr>
        <xdr:cNvSpPr txBox="1"/>
      </xdr:nvSpPr>
      <xdr:spPr>
        <a:xfrm>
          <a:off x="552450" y="2778498"/>
          <a:ext cx="3162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200" b="1"/>
            <a:t>2.</a:t>
          </a:r>
          <a:r>
            <a:rPr lang="pt-BR" sz="1200" b="1" baseline="0"/>
            <a:t> DADOS DE PRODUÇÃO - DISTRIBUIÇÃO</a:t>
          </a:r>
          <a:endParaRPr lang="pt-BR" sz="1200"/>
        </a:p>
      </xdr:txBody>
    </xdr:sp>
    <xdr:clientData/>
  </xdr:twoCellAnchor>
  <xdr:twoCellAnchor>
    <xdr:from>
      <xdr:col>3</xdr:col>
      <xdr:colOff>342900</xdr:colOff>
      <xdr:row>46</xdr:row>
      <xdr:rowOff>16248</xdr:rowOff>
    </xdr:from>
    <xdr:to>
      <xdr:col>11</xdr:col>
      <xdr:colOff>257174</xdr:colOff>
      <xdr:row>48</xdr:row>
      <xdr:rowOff>133350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6D9C4BE9-F9BE-475C-839C-BAF496CFE53B}"/>
            </a:ext>
          </a:extLst>
        </xdr:cNvPr>
        <xdr:cNvSpPr txBox="1"/>
      </xdr:nvSpPr>
      <xdr:spPr>
        <a:xfrm>
          <a:off x="2171700" y="8855448"/>
          <a:ext cx="4791074" cy="49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/>
        </a:p>
      </xdr:txBody>
    </xdr:sp>
    <xdr:clientData/>
  </xdr:twoCellAnchor>
  <xdr:twoCellAnchor>
    <xdr:from>
      <xdr:col>2</xdr:col>
      <xdr:colOff>66675</xdr:colOff>
      <xdr:row>46</xdr:row>
      <xdr:rowOff>6723</xdr:rowOff>
    </xdr:from>
    <xdr:to>
      <xdr:col>3</xdr:col>
      <xdr:colOff>381000</xdr:colOff>
      <xdr:row>48</xdr:row>
      <xdr:rowOff>104775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FF384045-5AAC-4767-8656-C8D2CB1CC469}"/>
            </a:ext>
          </a:extLst>
        </xdr:cNvPr>
        <xdr:cNvSpPr txBox="1"/>
      </xdr:nvSpPr>
      <xdr:spPr>
        <a:xfrm>
          <a:off x="1285875" y="8845923"/>
          <a:ext cx="923925" cy="479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 b="1"/>
        </a:p>
      </xdr:txBody>
    </xdr:sp>
    <xdr:clientData/>
  </xdr:twoCellAnchor>
  <xdr:twoCellAnchor>
    <xdr:from>
      <xdr:col>3</xdr:col>
      <xdr:colOff>342900</xdr:colOff>
      <xdr:row>48</xdr:row>
      <xdr:rowOff>6723</xdr:rowOff>
    </xdr:from>
    <xdr:to>
      <xdr:col>11</xdr:col>
      <xdr:colOff>257174</xdr:colOff>
      <xdr:row>50</xdr:row>
      <xdr:rowOff>123825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F1F879A6-999F-4A4A-A9F7-2F983EEDCA8C}"/>
            </a:ext>
          </a:extLst>
        </xdr:cNvPr>
        <xdr:cNvSpPr txBox="1"/>
      </xdr:nvSpPr>
      <xdr:spPr>
        <a:xfrm>
          <a:off x="2171700" y="9226923"/>
          <a:ext cx="4791074" cy="49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/>
        </a:p>
      </xdr:txBody>
    </xdr:sp>
    <xdr:clientData/>
  </xdr:twoCellAnchor>
  <xdr:twoCellAnchor>
    <xdr:from>
      <xdr:col>2</xdr:col>
      <xdr:colOff>57150</xdr:colOff>
      <xdr:row>48</xdr:row>
      <xdr:rowOff>6723</xdr:rowOff>
    </xdr:from>
    <xdr:to>
      <xdr:col>3</xdr:col>
      <xdr:colOff>371475</xdr:colOff>
      <xdr:row>50</xdr:row>
      <xdr:rowOff>104775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C0991EB0-6279-4FFC-8561-CCC01174F3E3}"/>
            </a:ext>
          </a:extLst>
        </xdr:cNvPr>
        <xdr:cNvSpPr txBox="1"/>
      </xdr:nvSpPr>
      <xdr:spPr>
        <a:xfrm>
          <a:off x="1276350" y="9226923"/>
          <a:ext cx="923925" cy="479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 b="1"/>
        </a:p>
      </xdr:txBody>
    </xdr:sp>
    <xdr:clientData/>
  </xdr:twoCellAnchor>
  <xdr:twoCellAnchor>
    <xdr:from>
      <xdr:col>3</xdr:col>
      <xdr:colOff>342900</xdr:colOff>
      <xdr:row>49</xdr:row>
      <xdr:rowOff>168648</xdr:rowOff>
    </xdr:from>
    <xdr:to>
      <xdr:col>11</xdr:col>
      <xdr:colOff>257174</xdr:colOff>
      <xdr:row>52</xdr:row>
      <xdr:rowOff>95250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811840FF-5EB1-49E0-9799-4F34A29BCE53}"/>
            </a:ext>
          </a:extLst>
        </xdr:cNvPr>
        <xdr:cNvSpPr txBox="1"/>
      </xdr:nvSpPr>
      <xdr:spPr>
        <a:xfrm>
          <a:off x="2171700" y="9579348"/>
          <a:ext cx="4791074" cy="49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/>
        </a:p>
      </xdr:txBody>
    </xdr:sp>
    <xdr:clientData/>
  </xdr:twoCellAnchor>
  <xdr:twoCellAnchor>
    <xdr:from>
      <xdr:col>2</xdr:col>
      <xdr:colOff>66675</xdr:colOff>
      <xdr:row>49</xdr:row>
      <xdr:rowOff>168648</xdr:rowOff>
    </xdr:from>
    <xdr:to>
      <xdr:col>3</xdr:col>
      <xdr:colOff>381000</xdr:colOff>
      <xdr:row>52</xdr:row>
      <xdr:rowOff>76200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6D8606EC-CE4F-40F3-8E8E-57D77FCCF7BF}"/>
            </a:ext>
          </a:extLst>
        </xdr:cNvPr>
        <xdr:cNvSpPr txBox="1"/>
      </xdr:nvSpPr>
      <xdr:spPr>
        <a:xfrm>
          <a:off x="1285875" y="9579348"/>
          <a:ext cx="923925" cy="479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 b="1"/>
        </a:p>
      </xdr:txBody>
    </xdr:sp>
    <xdr:clientData/>
  </xdr:twoCellAnchor>
  <xdr:twoCellAnchor>
    <xdr:from>
      <xdr:col>3</xdr:col>
      <xdr:colOff>352425</xdr:colOff>
      <xdr:row>51</xdr:row>
      <xdr:rowOff>168648</xdr:rowOff>
    </xdr:from>
    <xdr:to>
      <xdr:col>11</xdr:col>
      <xdr:colOff>266699</xdr:colOff>
      <xdr:row>54</xdr:row>
      <xdr:rowOff>95250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98F5A139-A940-48A4-A9A0-5F6C9A1AF8C0}"/>
            </a:ext>
          </a:extLst>
        </xdr:cNvPr>
        <xdr:cNvSpPr txBox="1"/>
      </xdr:nvSpPr>
      <xdr:spPr>
        <a:xfrm>
          <a:off x="2181225" y="9960348"/>
          <a:ext cx="4791074" cy="49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600"/>
        </a:p>
      </xdr:txBody>
    </xdr:sp>
    <xdr:clientData/>
  </xdr:twoCellAnchor>
  <xdr:twoCellAnchor>
    <xdr:from>
      <xdr:col>2</xdr:col>
      <xdr:colOff>76200</xdr:colOff>
      <xdr:row>51</xdr:row>
      <xdr:rowOff>168648</xdr:rowOff>
    </xdr:from>
    <xdr:to>
      <xdr:col>3</xdr:col>
      <xdr:colOff>390525</xdr:colOff>
      <xdr:row>54</xdr:row>
      <xdr:rowOff>76200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E4F7ADF9-AB5D-4AA8-826B-973A3DA5C813}"/>
            </a:ext>
          </a:extLst>
        </xdr:cNvPr>
        <xdr:cNvSpPr txBox="1"/>
      </xdr:nvSpPr>
      <xdr:spPr>
        <a:xfrm>
          <a:off x="1295400" y="9960348"/>
          <a:ext cx="923925" cy="479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 b="1"/>
        </a:p>
      </xdr:txBody>
    </xdr:sp>
    <xdr:clientData/>
  </xdr:twoCellAnchor>
  <xdr:twoCellAnchor>
    <xdr:from>
      <xdr:col>3</xdr:col>
      <xdr:colOff>352425</xdr:colOff>
      <xdr:row>53</xdr:row>
      <xdr:rowOff>187698</xdr:rowOff>
    </xdr:from>
    <xdr:to>
      <xdr:col>11</xdr:col>
      <xdr:colOff>266699</xdr:colOff>
      <xdr:row>56</xdr:row>
      <xdr:rowOff>114300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8DEC55A2-941E-4932-A9A2-020C9BC7712D}"/>
            </a:ext>
          </a:extLst>
        </xdr:cNvPr>
        <xdr:cNvSpPr txBox="1"/>
      </xdr:nvSpPr>
      <xdr:spPr>
        <a:xfrm>
          <a:off x="2181225" y="10360398"/>
          <a:ext cx="4791074" cy="49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600"/>
        </a:p>
      </xdr:txBody>
    </xdr:sp>
    <xdr:clientData/>
  </xdr:twoCellAnchor>
  <xdr:twoCellAnchor>
    <xdr:from>
      <xdr:col>2</xdr:col>
      <xdr:colOff>76200</xdr:colOff>
      <xdr:row>53</xdr:row>
      <xdr:rowOff>187698</xdr:rowOff>
    </xdr:from>
    <xdr:to>
      <xdr:col>3</xdr:col>
      <xdr:colOff>390525</xdr:colOff>
      <xdr:row>56</xdr:row>
      <xdr:rowOff>95250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A6BF8511-A5D4-4E5F-9813-E2A6BC751248}"/>
            </a:ext>
          </a:extLst>
        </xdr:cNvPr>
        <xdr:cNvSpPr txBox="1"/>
      </xdr:nvSpPr>
      <xdr:spPr>
        <a:xfrm>
          <a:off x="1295400" y="10360398"/>
          <a:ext cx="923925" cy="479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228600</xdr:colOff>
      <xdr:row>0</xdr:row>
      <xdr:rowOff>19050</xdr:rowOff>
    </xdr:from>
    <xdr:to>
      <xdr:col>28</xdr:col>
      <xdr:colOff>257175</xdr:colOff>
      <xdr:row>1</xdr:row>
      <xdr:rowOff>476250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859125" y="19050"/>
          <a:ext cx="18573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523875</xdr:colOff>
      <xdr:row>0</xdr:row>
      <xdr:rowOff>19050</xdr:rowOff>
    </xdr:from>
    <xdr:to>
      <xdr:col>14</xdr:col>
      <xdr:colOff>152400</xdr:colOff>
      <xdr:row>1</xdr:row>
      <xdr:rowOff>476250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859125" y="19050"/>
          <a:ext cx="18573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962023</xdr:colOff>
      <xdr:row>0</xdr:row>
      <xdr:rowOff>35720</xdr:rowOff>
    </xdr:from>
    <xdr:to>
      <xdr:col>9</xdr:col>
      <xdr:colOff>14286</xdr:colOff>
      <xdr:row>1</xdr:row>
      <xdr:rowOff>492920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559586" y="35720"/>
          <a:ext cx="1885950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K39"/>
  <sheetViews>
    <sheetView showGridLines="0" showRowColHeaders="0" tabSelected="1" zoomScaleNormal="100" workbookViewId="0"/>
  </sheetViews>
  <sheetFormatPr defaultRowHeight="15" x14ac:dyDescent="0.25"/>
  <sheetData>
    <row r="1" spans="1:8" ht="18.75" customHeight="1" x14ac:dyDescent="0.25"/>
    <row r="2" spans="1:8" ht="17.25" customHeight="1" x14ac:dyDescent="0.6">
      <c r="B2" s="4"/>
      <c r="C2" s="1"/>
      <c r="D2" s="1"/>
      <c r="E2" s="1"/>
      <c r="F2" s="1"/>
      <c r="G2" s="1"/>
      <c r="H2" s="1"/>
    </row>
    <row r="8" spans="1:8" x14ac:dyDescent="0.25">
      <c r="A8" s="12" t="s">
        <v>0</v>
      </c>
    </row>
    <row r="39" spans="11:11" x14ac:dyDescent="0.25">
      <c r="K39" s="3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scale="5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2:AD50"/>
  <sheetViews>
    <sheetView showGridLines="0" zoomScale="115" zoomScaleNormal="115" workbookViewId="0">
      <pane ySplit="2" topLeftCell="A40" activePane="bottomLeft" state="frozen"/>
      <selection pane="bottomLeft" activeCell="M29" sqref="M29"/>
    </sheetView>
  </sheetViews>
  <sheetFormatPr defaultRowHeight="15" x14ac:dyDescent="0.25"/>
  <cols>
    <col min="2" max="2" width="15" customWidth="1"/>
    <col min="3" max="3" width="17.7109375" customWidth="1"/>
    <col min="4" max="4" width="10" bestFit="1" customWidth="1"/>
    <col min="5" max="5" width="11.42578125" customWidth="1"/>
    <col min="6" max="6" width="14.140625" customWidth="1"/>
    <col min="7" max="7" width="11.7109375" customWidth="1"/>
    <col min="8" max="8" width="16.85546875" customWidth="1"/>
    <col min="9" max="9" width="10" customWidth="1"/>
    <col min="10" max="12" width="10" bestFit="1" customWidth="1"/>
    <col min="13" max="13" width="12.7109375" customWidth="1"/>
    <col min="14" max="14" width="10" bestFit="1" customWidth="1"/>
    <col min="15" max="15" width="12" customWidth="1"/>
    <col min="16" max="16" width="17.85546875" customWidth="1"/>
  </cols>
  <sheetData>
    <row r="2" spans="2:15" ht="39" x14ac:dyDescent="0.6">
      <c r="B2" s="1" t="s">
        <v>1</v>
      </c>
      <c r="C2" s="1"/>
      <c r="D2" s="1"/>
      <c r="E2" s="1"/>
      <c r="F2" s="1"/>
    </row>
    <row r="6" spans="2:15" ht="26.25" x14ac:dyDescent="0.4">
      <c r="B6" s="100" t="s">
        <v>2</v>
      </c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</row>
    <row r="8" spans="2:15" x14ac:dyDescent="0.25">
      <c r="B8" s="26"/>
      <c r="C8" s="77" t="s">
        <v>313</v>
      </c>
      <c r="D8" s="77" t="s">
        <v>314</v>
      </c>
      <c r="E8" s="77" t="s">
        <v>315</v>
      </c>
      <c r="F8" s="77" t="s">
        <v>316</v>
      </c>
      <c r="G8" s="77" t="s">
        <v>317</v>
      </c>
      <c r="H8" s="77" t="s">
        <v>318</v>
      </c>
      <c r="I8" s="77" t="s">
        <v>319</v>
      </c>
      <c r="J8" s="77" t="s">
        <v>320</v>
      </c>
      <c r="K8" s="77" t="s">
        <v>321</v>
      </c>
      <c r="L8" s="77" t="s">
        <v>322</v>
      </c>
      <c r="M8" s="77" t="s">
        <v>323</v>
      </c>
      <c r="N8" s="77" t="s">
        <v>324</v>
      </c>
      <c r="O8" s="77" t="s">
        <v>325</v>
      </c>
    </row>
    <row r="9" spans="2:15" x14ac:dyDescent="0.25">
      <c r="B9" s="16" t="s">
        <v>3</v>
      </c>
      <c r="C9" s="17">
        <v>7.1517259365969981</v>
      </c>
      <c r="D9" s="17">
        <v>6.9714937237841959</v>
      </c>
      <c r="E9" s="17">
        <v>7.0271311511761274</v>
      </c>
      <c r="F9" s="17">
        <v>7.2251814826819993</v>
      </c>
      <c r="G9" s="17">
        <v>7.3146580472945146</v>
      </c>
      <c r="H9" s="17">
        <v>7.1711801092666665</v>
      </c>
      <c r="I9" s="17">
        <v>6.7207033760077399</v>
      </c>
      <c r="J9" s="17">
        <v>7.6388251156338711</v>
      </c>
      <c r="K9" s="17">
        <v>7.2643657410200007</v>
      </c>
      <c r="L9" s="17">
        <v>5.1601615442796778</v>
      </c>
      <c r="M9" s="17">
        <v>6.6970129283809996</v>
      </c>
      <c r="N9" s="17">
        <v>7.27931154696258</v>
      </c>
      <c r="O9" s="17">
        <v>7.0114942033263334</v>
      </c>
    </row>
    <row r="10" spans="2:15" x14ac:dyDescent="0.25">
      <c r="B10" s="18" t="s">
        <v>4</v>
      </c>
      <c r="C10" s="78">
        <v>3359.4192652517486</v>
      </c>
      <c r="D10" s="19">
        <v>3505.7501636508846</v>
      </c>
      <c r="E10" s="19">
        <v>3455.0146513929408</v>
      </c>
      <c r="F10" s="19">
        <v>3665.013251053002</v>
      </c>
      <c r="G10" s="19">
        <v>3535.9097670938982</v>
      </c>
      <c r="H10" s="19">
        <v>3671.1216054856686</v>
      </c>
      <c r="I10" s="19">
        <v>3578.4112046756468</v>
      </c>
      <c r="J10" s="19">
        <v>3511.4834987400081</v>
      </c>
      <c r="K10" s="19">
        <v>3441.0622229475598</v>
      </c>
      <c r="L10" s="19">
        <v>3351.0942677333883</v>
      </c>
      <c r="M10" s="19">
        <v>3187.7016721260197</v>
      </c>
      <c r="N10" s="19">
        <v>3310.6531533874618</v>
      </c>
      <c r="O10" s="19">
        <v>3401.8846610521623</v>
      </c>
    </row>
    <row r="11" spans="2:15" ht="15.75" thickBot="1" x14ac:dyDescent="0.3">
      <c r="B11" s="20" t="s">
        <v>5</v>
      </c>
      <c r="C11" s="21">
        <v>3366.5709911883459</v>
      </c>
      <c r="D11" s="21">
        <v>3512.7216573746687</v>
      </c>
      <c r="E11" s="21">
        <v>3462.0417825441168</v>
      </c>
      <c r="F11" s="21">
        <v>3672.2384325356843</v>
      </c>
      <c r="G11" s="21">
        <v>3543.2244251411921</v>
      </c>
      <c r="H11" s="21">
        <v>3678.2927855949351</v>
      </c>
      <c r="I11" s="21">
        <v>3585.1319080516546</v>
      </c>
      <c r="J11" s="21">
        <v>3519.1223238556422</v>
      </c>
      <c r="K11" s="21">
        <v>3448.3265886885792</v>
      </c>
      <c r="L11" s="21">
        <v>3356.2544292776674</v>
      </c>
      <c r="M11" s="21">
        <v>3194.3986850544011</v>
      </c>
      <c r="N11" s="21">
        <v>3317.9324649344244</v>
      </c>
      <c r="O11" s="21">
        <v>3408.8961552554888</v>
      </c>
    </row>
    <row r="14" spans="2:15" ht="26.25" x14ac:dyDescent="0.4">
      <c r="B14" s="2" t="s">
        <v>6</v>
      </c>
    </row>
    <row r="16" spans="2:15" ht="21.75" customHeight="1" x14ac:dyDescent="0.25">
      <c r="B16" s="26"/>
      <c r="C16" s="77" t="s">
        <v>313</v>
      </c>
      <c r="D16" s="77" t="s">
        <v>314</v>
      </c>
      <c r="E16" s="77" t="s">
        <v>315</v>
      </c>
      <c r="F16" s="77" t="s">
        <v>316</v>
      </c>
      <c r="G16" s="77" t="s">
        <v>317</v>
      </c>
      <c r="H16" s="77" t="s">
        <v>318</v>
      </c>
      <c r="I16" s="77" t="s">
        <v>319</v>
      </c>
      <c r="J16" s="77" t="s">
        <v>320</v>
      </c>
      <c r="K16" s="77" t="s">
        <v>321</v>
      </c>
      <c r="L16" s="77" t="s">
        <v>322</v>
      </c>
      <c r="M16" s="77" t="s">
        <v>323</v>
      </c>
      <c r="N16" s="77" t="s">
        <v>324</v>
      </c>
      <c r="O16" s="77" t="s">
        <v>325</v>
      </c>
    </row>
    <row r="17" spans="2:30" x14ac:dyDescent="0.25">
      <c r="B17" s="16" t="s">
        <v>7</v>
      </c>
      <c r="C17" s="17">
        <v>132.308785</v>
      </c>
      <c r="D17" s="17">
        <v>137.02685870967736</v>
      </c>
      <c r="E17" s="17">
        <v>131.71275283870966</v>
      </c>
      <c r="F17" s="17">
        <v>143.92372423333347</v>
      </c>
      <c r="G17" s="17">
        <v>136.79443390322578</v>
      </c>
      <c r="H17" s="17">
        <v>144.50906639999997</v>
      </c>
      <c r="I17" s="17">
        <v>140.92846712903224</v>
      </c>
      <c r="J17" s="17">
        <v>135.41185706451617</v>
      </c>
      <c r="K17" s="17">
        <v>134.02720555172417</v>
      </c>
      <c r="L17" s="17">
        <v>134.91648690322583</v>
      </c>
      <c r="M17" s="17">
        <v>126.66226543333329</v>
      </c>
      <c r="N17" s="17">
        <v>134.43371374193546</v>
      </c>
      <c r="O17" s="17">
        <v>138.23934896666663</v>
      </c>
    </row>
    <row r="18" spans="2:30" x14ac:dyDescent="0.25">
      <c r="B18" s="18" t="s">
        <v>8</v>
      </c>
      <c r="C18" s="78">
        <v>19.949106566666671</v>
      </c>
      <c r="D18" s="19">
        <v>17.0489930967742</v>
      </c>
      <c r="E18" s="19">
        <v>16.147167322580646</v>
      </c>
      <c r="F18" s="19">
        <v>14.065104366666663</v>
      </c>
      <c r="G18" s="19">
        <v>15.710882</v>
      </c>
      <c r="H18" s="19">
        <v>17.614004399999999</v>
      </c>
      <c r="I18" s="19">
        <v>15.701294064516134</v>
      </c>
      <c r="J18" s="19">
        <v>18.515622258064518</v>
      </c>
      <c r="K18" s="19">
        <v>14.607449206896552</v>
      </c>
      <c r="L18" s="19">
        <v>9.0658147419354798</v>
      </c>
      <c r="M18" s="19">
        <v>10.013872266666668</v>
      </c>
      <c r="N18" s="19">
        <v>11.196946322580642</v>
      </c>
      <c r="O18" s="19">
        <v>11.834428866666663</v>
      </c>
    </row>
    <row r="19" spans="2:30" ht="15.75" thickBot="1" x14ac:dyDescent="0.3">
      <c r="B19" s="20" t="s">
        <v>9</v>
      </c>
      <c r="C19" s="21">
        <v>152.25789156666667</v>
      </c>
      <c r="D19" s="21">
        <v>154.07585180645157</v>
      </c>
      <c r="E19" s="21">
        <v>147.85992016129029</v>
      </c>
      <c r="F19" s="21">
        <v>157.98882860000015</v>
      </c>
      <c r="G19" s="21">
        <v>152.50531590322581</v>
      </c>
      <c r="H19" s="21">
        <v>162.12307079999997</v>
      </c>
      <c r="I19" s="21">
        <v>156.62976119354838</v>
      </c>
      <c r="J19" s="21">
        <v>153.92747932258067</v>
      </c>
      <c r="K19" s="21">
        <v>148.63465475862071</v>
      </c>
      <c r="L19" s="21">
        <v>143.98230164516133</v>
      </c>
      <c r="M19" s="21">
        <v>136.67613769999997</v>
      </c>
      <c r="N19" s="21">
        <v>145.63066006451609</v>
      </c>
      <c r="O19" s="21">
        <v>150.07377783333331</v>
      </c>
    </row>
    <row r="20" spans="2:30" x14ac:dyDescent="0.25"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</row>
    <row r="22" spans="2:30" ht="26.25" x14ac:dyDescent="0.4">
      <c r="B22" s="100" t="s">
        <v>10</v>
      </c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</row>
    <row r="24" spans="2:30" ht="36" x14ac:dyDescent="0.25">
      <c r="B24" s="48" t="s">
        <v>11</v>
      </c>
      <c r="C24" s="48" t="s">
        <v>12</v>
      </c>
      <c r="D24" s="48" t="s">
        <v>13</v>
      </c>
      <c r="E24" s="48" t="s">
        <v>14</v>
      </c>
      <c r="F24" s="48" t="s">
        <v>15</v>
      </c>
      <c r="G24" s="48" t="s">
        <v>16</v>
      </c>
      <c r="H24" s="48" t="s">
        <v>17</v>
      </c>
      <c r="I24" s="48" t="s">
        <v>18</v>
      </c>
      <c r="J24" s="48" t="s">
        <v>19</v>
      </c>
    </row>
    <row r="25" spans="2:30" x14ac:dyDescent="0.25">
      <c r="B25" s="40" t="s">
        <v>313</v>
      </c>
      <c r="C25" s="39">
        <v>15160.836833333336</v>
      </c>
      <c r="D25" s="39">
        <v>4580.4257333333344</v>
      </c>
      <c r="E25" s="39">
        <v>77859.040666666639</v>
      </c>
      <c r="F25" s="39">
        <v>54657.588333333348</v>
      </c>
      <c r="G25" s="79">
        <v>152257.89156666666</v>
      </c>
      <c r="H25" s="80">
        <v>0.97006344943610767</v>
      </c>
      <c r="I25" s="39">
        <v>57924.215830779976</v>
      </c>
      <c r="J25" s="39">
        <v>128570.81568077329</v>
      </c>
    </row>
    <row r="26" spans="2:30" x14ac:dyDescent="0.25">
      <c r="B26" s="81" t="s">
        <v>314</v>
      </c>
      <c r="C26" s="31">
        <v>15935.702967741936</v>
      </c>
      <c r="D26" s="31">
        <v>4274.1824516129072</v>
      </c>
      <c r="E26" s="31">
        <v>80209.337741935524</v>
      </c>
      <c r="F26" s="31">
        <v>53656.62864516105</v>
      </c>
      <c r="G26" s="82">
        <v>154075.85180645142</v>
      </c>
      <c r="H26" s="83">
        <v>0.97239396197201844</v>
      </c>
      <c r="I26" s="31">
        <v>59387.935208448427</v>
      </c>
      <c r="J26" s="31">
        <v>130133.8764594032</v>
      </c>
    </row>
    <row r="27" spans="2:30" x14ac:dyDescent="0.25">
      <c r="B27" s="40" t="s">
        <v>315</v>
      </c>
      <c r="C27" s="39">
        <v>16070.670193548394</v>
      </c>
      <c r="D27" s="39">
        <v>3768.9559677419356</v>
      </c>
      <c r="E27" s="39">
        <v>75766.434580645146</v>
      </c>
      <c r="F27" s="39">
        <v>52253.859419354856</v>
      </c>
      <c r="G27" s="79">
        <v>147859.92016129033</v>
      </c>
      <c r="H27" s="80">
        <v>0.97464588133526753</v>
      </c>
      <c r="I27" s="39">
        <v>54799.57548483547</v>
      </c>
      <c r="J27" s="39">
        <v>123884.45210190638</v>
      </c>
    </row>
    <row r="28" spans="2:30" x14ac:dyDescent="0.25">
      <c r="B28" s="81" t="s">
        <v>316</v>
      </c>
      <c r="C28" s="31">
        <v>16648.610133333332</v>
      </c>
      <c r="D28" s="31">
        <v>3353.7644666666652</v>
      </c>
      <c r="E28" s="31">
        <v>83598.39340000003</v>
      </c>
      <c r="F28" s="31">
        <v>54388.060600000186</v>
      </c>
      <c r="G28" s="82">
        <v>157988.82860000021</v>
      </c>
      <c r="H28" s="83">
        <v>0.97887844562105841</v>
      </c>
      <c r="I28" s="31">
        <v>61585.549937896692</v>
      </c>
      <c r="J28" s="31">
        <v>132984.75014773651</v>
      </c>
    </row>
    <row r="29" spans="2:30" x14ac:dyDescent="0.25">
      <c r="B29" s="40" t="s">
        <v>317</v>
      </c>
      <c r="C29" s="39">
        <v>16239.155709677414</v>
      </c>
      <c r="D29" s="39">
        <v>3731.5471290322585</v>
      </c>
      <c r="E29" s="39">
        <v>83911.098451612896</v>
      </c>
      <c r="F29" s="39">
        <v>48623.5146129032</v>
      </c>
      <c r="G29" s="79">
        <v>152505.31590322577</v>
      </c>
      <c r="H29" s="80">
        <v>0.97564725613213177</v>
      </c>
      <c r="I29" s="39">
        <v>63282.670383964505</v>
      </c>
      <c r="J29" s="39">
        <v>128899.23344106464</v>
      </c>
    </row>
    <row r="30" spans="2:30" x14ac:dyDescent="0.25">
      <c r="B30" s="81" t="s">
        <v>318</v>
      </c>
      <c r="C30" s="31">
        <v>16806.885699999992</v>
      </c>
      <c r="D30" s="31">
        <v>3663.1815000000001</v>
      </c>
      <c r="E30" s="31">
        <v>85787.261199999994</v>
      </c>
      <c r="F30" s="31">
        <v>55865.742399999966</v>
      </c>
      <c r="G30" s="82">
        <v>162123.07079999996</v>
      </c>
      <c r="H30" s="83">
        <v>0.97750335391147547</v>
      </c>
      <c r="I30" s="31">
        <v>63806.694113669997</v>
      </c>
      <c r="J30" s="31">
        <v>137259.04680819012</v>
      </c>
    </row>
    <row r="31" spans="2:30" x14ac:dyDescent="0.25">
      <c r="B31" s="40" t="s">
        <v>319</v>
      </c>
      <c r="C31" s="39">
        <v>16272.819258064506</v>
      </c>
      <c r="D31" s="39">
        <v>3395.5930967741956</v>
      </c>
      <c r="E31" s="39">
        <v>85616.517451612905</v>
      </c>
      <c r="F31" s="39">
        <v>51344.831387096718</v>
      </c>
      <c r="G31" s="79">
        <v>156629.76119354833</v>
      </c>
      <c r="H31" s="80">
        <v>0.97838070697791779</v>
      </c>
      <c r="I31" s="39">
        <v>63822.471649490326</v>
      </c>
      <c r="J31" s="39">
        <v>132063.52789155155</v>
      </c>
    </row>
    <row r="32" spans="2:30" x14ac:dyDescent="0.25">
      <c r="B32" s="81" t="s">
        <v>320</v>
      </c>
      <c r="C32" s="31">
        <v>16452.41622580645</v>
      </c>
      <c r="D32" s="31">
        <v>4545.8012580645154</v>
      </c>
      <c r="E32" s="31">
        <v>81304.29703225808</v>
      </c>
      <c r="F32" s="31">
        <v>51624.964806451608</v>
      </c>
      <c r="G32" s="82">
        <v>153927.47932258065</v>
      </c>
      <c r="H32" s="83">
        <v>0.9706077875348248</v>
      </c>
      <c r="I32" s="31">
        <v>60705.45674679357</v>
      </c>
      <c r="J32" s="31">
        <v>129528.46837174192</v>
      </c>
    </row>
    <row r="33" spans="2:15" x14ac:dyDescent="0.25">
      <c r="B33" s="40" t="s">
        <v>321</v>
      </c>
      <c r="C33" s="39">
        <v>16455.236689655158</v>
      </c>
      <c r="D33" s="39">
        <v>5284.9127586206923</v>
      </c>
      <c r="E33" s="39">
        <v>75653.091344827582</v>
      </c>
      <c r="F33" s="39">
        <v>51241.41396551732</v>
      </c>
      <c r="G33" s="79">
        <v>148634.65475862075</v>
      </c>
      <c r="H33" s="80">
        <v>0.96462420206500754</v>
      </c>
      <c r="I33" s="39">
        <v>55955.72073733103</v>
      </c>
      <c r="J33" s="39">
        <v>124393.46428216546</v>
      </c>
    </row>
    <row r="34" spans="2:15" x14ac:dyDescent="0.25">
      <c r="B34" s="81" t="s">
        <v>322</v>
      </c>
      <c r="C34" s="31">
        <v>15912.391935483876</v>
      </c>
      <c r="D34" s="31">
        <v>5617.9116129032282</v>
      </c>
      <c r="E34" s="31">
        <v>83874.226806451581</v>
      </c>
      <c r="F34" s="31">
        <v>38577.771290322635</v>
      </c>
      <c r="G34" s="82">
        <v>143982.30164516132</v>
      </c>
      <c r="H34" s="83">
        <v>0.96117350550265002</v>
      </c>
      <c r="I34" s="31">
        <v>63468.475328748347</v>
      </c>
      <c r="J34" s="31">
        <v>119402.23319232253</v>
      </c>
    </row>
    <row r="35" spans="2:15" x14ac:dyDescent="0.25">
      <c r="B35" s="40" t="s">
        <v>323</v>
      </c>
      <c r="C35" s="39">
        <v>15144.396200000007</v>
      </c>
      <c r="D35" s="39">
        <v>3921.5128666666646</v>
      </c>
      <c r="E35" s="39">
        <v>73277.496066666659</v>
      </c>
      <c r="F35" s="39">
        <v>44332.732566666629</v>
      </c>
      <c r="G35" s="79">
        <v>136676.13769999996</v>
      </c>
      <c r="H35" s="80">
        <v>0.97143680827248491</v>
      </c>
      <c r="I35" s="39">
        <v>56827.276844173328</v>
      </c>
      <c r="J35" s="39">
        <v>115102.52245874984</v>
      </c>
    </row>
    <row r="36" spans="2:15" x14ac:dyDescent="0.25">
      <c r="B36" s="81" t="s">
        <v>324</v>
      </c>
      <c r="C36" s="31">
        <v>15837.612741935485</v>
      </c>
      <c r="D36" s="31">
        <v>3547.0089677419351</v>
      </c>
      <c r="E36" s="31">
        <v>80280.983935483877</v>
      </c>
      <c r="F36" s="31">
        <v>45965.054419354856</v>
      </c>
      <c r="G36" s="82">
        <v>145630.66006451615</v>
      </c>
      <c r="H36" s="83">
        <v>0.97577470272193856</v>
      </c>
      <c r="I36" s="31">
        <v>60137.871249948388</v>
      </c>
      <c r="J36" s="31">
        <v>120891.49324038073</v>
      </c>
    </row>
    <row r="37" spans="2:15" ht="15.75" thickBot="1" x14ac:dyDescent="0.3">
      <c r="B37" s="99" t="s">
        <v>325</v>
      </c>
      <c r="C37" s="15">
        <v>16099.087533333333</v>
      </c>
      <c r="D37" s="15">
        <v>3050.481666666667</v>
      </c>
      <c r="E37" s="15">
        <v>84245.096466666655</v>
      </c>
      <c r="F37" s="15">
        <v>46679.112166666644</v>
      </c>
      <c r="G37" s="84">
        <v>150073.7778333333</v>
      </c>
      <c r="H37" s="85">
        <v>0.97977544300848363</v>
      </c>
      <c r="I37" s="15">
        <v>63584.930469856656</v>
      </c>
      <c r="J37" s="15">
        <v>124924.87190283986</v>
      </c>
    </row>
    <row r="38" spans="2:15" x14ac:dyDescent="0.25">
      <c r="B38" s="5"/>
      <c r="C38" s="6"/>
      <c r="D38" s="6"/>
      <c r="E38" s="6"/>
      <c r="F38" s="6"/>
      <c r="G38" s="6"/>
    </row>
    <row r="39" spans="2:15" ht="15" customHeight="1" x14ac:dyDescent="0.25">
      <c r="B39" s="101" t="s">
        <v>20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</row>
    <row r="40" spans="2:15" x14ac:dyDescent="0.25"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</row>
    <row r="42" spans="2:15" x14ac:dyDescent="0.25">
      <c r="B42" s="26"/>
      <c r="C42" s="77" t="s">
        <v>313</v>
      </c>
      <c r="D42" s="77" t="s">
        <v>314</v>
      </c>
      <c r="E42" s="77" t="s">
        <v>315</v>
      </c>
      <c r="F42" s="77" t="s">
        <v>316</v>
      </c>
      <c r="G42" s="77" t="s">
        <v>317</v>
      </c>
      <c r="H42" s="77" t="s">
        <v>318</v>
      </c>
      <c r="I42" s="77" t="s">
        <v>319</v>
      </c>
      <c r="J42" s="77" t="s">
        <v>320</v>
      </c>
      <c r="K42" s="77" t="s">
        <v>321</v>
      </c>
      <c r="L42" s="77" t="s">
        <v>322</v>
      </c>
      <c r="M42" s="77" t="s">
        <v>323</v>
      </c>
      <c r="N42" s="77" t="s">
        <v>324</v>
      </c>
      <c r="O42" s="77" t="s">
        <v>325</v>
      </c>
    </row>
    <row r="43" spans="2:15" x14ac:dyDescent="0.25">
      <c r="B43" s="16" t="s">
        <v>5</v>
      </c>
      <c r="C43" s="17">
        <v>3366.5709911883464</v>
      </c>
      <c r="D43" s="17">
        <v>3512.7216573746687</v>
      </c>
      <c r="E43" s="17">
        <v>3462.0417825441168</v>
      </c>
      <c r="F43" s="17">
        <v>3672.2384325356843</v>
      </c>
      <c r="G43" s="17">
        <v>3543.2244251411917</v>
      </c>
      <c r="H43" s="17">
        <v>3678.2927855949342</v>
      </c>
      <c r="I43" s="17">
        <v>3585.1319080516537</v>
      </c>
      <c r="J43" s="17">
        <v>3519.1223238556422</v>
      </c>
      <c r="K43" s="17">
        <v>3448.3265886885792</v>
      </c>
      <c r="L43" s="17">
        <v>3356.2544292776674</v>
      </c>
      <c r="M43" s="17">
        <v>3194.3986850544006</v>
      </c>
      <c r="N43" s="17">
        <v>3317.9324649344244</v>
      </c>
      <c r="O43" s="17">
        <v>3408.8961552554888</v>
      </c>
    </row>
    <row r="44" spans="2:15" x14ac:dyDescent="0.25">
      <c r="B44" s="18" t="s">
        <v>21</v>
      </c>
      <c r="C44" s="19">
        <v>957.67320895493549</v>
      </c>
      <c r="D44" s="19">
        <v>969.10783345073617</v>
      </c>
      <c r="E44" s="19">
        <v>930.01080442968555</v>
      </c>
      <c r="F44" s="19">
        <v>993.71971401656742</v>
      </c>
      <c r="G44" s="19">
        <v>959.22946102126843</v>
      </c>
      <c r="H44" s="19">
        <v>1019.7233119485477</v>
      </c>
      <c r="I44" s="19">
        <v>985.1714382527922</v>
      </c>
      <c r="J44" s="19">
        <v>968.17459871796098</v>
      </c>
      <c r="K44" s="19">
        <v>934.88373784732039</v>
      </c>
      <c r="L44" s="19">
        <v>905.62132071075212</v>
      </c>
      <c r="M44" s="19">
        <v>859.66693766683693</v>
      </c>
      <c r="N44" s="19">
        <v>915.98918198039428</v>
      </c>
      <c r="O44" s="19">
        <v>943.93554855387822</v>
      </c>
    </row>
    <row r="45" spans="2:15" ht="25.5" customHeight="1" thickBot="1" x14ac:dyDescent="0.3">
      <c r="B45" s="20" t="s">
        <v>22</v>
      </c>
      <c r="C45" s="21">
        <v>4324.2442001432819</v>
      </c>
      <c r="D45" s="21">
        <v>4481.8294908254056</v>
      </c>
      <c r="E45" s="21">
        <v>4392.0525869738021</v>
      </c>
      <c r="F45" s="21">
        <v>4665.9581465522515</v>
      </c>
      <c r="G45" s="21">
        <v>4502.4538861624596</v>
      </c>
      <c r="H45" s="21">
        <v>4698.0160975434819</v>
      </c>
      <c r="I45" s="21">
        <v>4570.3033463044467</v>
      </c>
      <c r="J45" s="21">
        <v>4487.2969225736033</v>
      </c>
      <c r="K45" s="21">
        <v>4383.210326535901</v>
      </c>
      <c r="L45" s="21">
        <v>4261.8757499884186</v>
      </c>
      <c r="M45" s="21">
        <v>4054.065622721238</v>
      </c>
      <c r="N45" s="21">
        <v>4233.9216469148196</v>
      </c>
      <c r="O45" s="21">
        <v>4352.8317038093664</v>
      </c>
    </row>
    <row r="50" ht="26.25" customHeight="1" x14ac:dyDescent="0.25"/>
  </sheetData>
  <sheetProtection selectLockedCells="1" selectUnlockedCells="1"/>
  <mergeCells count="3">
    <mergeCell ref="B22:O22"/>
    <mergeCell ref="B39:O40"/>
    <mergeCell ref="B6:O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X238"/>
  <sheetViews>
    <sheetView showGridLines="0" zoomScaleNormal="100" workbookViewId="0">
      <pane ySplit="2" topLeftCell="A249" activePane="bottomLeft" state="frozen"/>
      <selection pane="bottomLeft" activeCell="B238" sqref="B238"/>
    </sheetView>
  </sheetViews>
  <sheetFormatPr defaultRowHeight="15" x14ac:dyDescent="0.25"/>
  <cols>
    <col min="2" max="2" width="16.7109375" customWidth="1"/>
    <col min="3" max="3" width="25" bestFit="1" customWidth="1"/>
    <col min="4" max="4" width="18.7109375" customWidth="1"/>
    <col min="5" max="5" width="21.42578125" bestFit="1" customWidth="1"/>
    <col min="6" max="6" width="29.42578125" bestFit="1" customWidth="1"/>
    <col min="7" max="7" width="17.85546875" customWidth="1"/>
    <col min="8" max="8" width="19.42578125" customWidth="1"/>
    <col min="9" max="9" width="18.85546875" customWidth="1"/>
    <col min="10" max="10" width="17.5703125" customWidth="1"/>
    <col min="11" max="11" width="23.140625" customWidth="1"/>
    <col min="12" max="12" width="23.5703125" customWidth="1"/>
    <col min="13" max="13" width="27.28515625" bestFit="1" customWidth="1"/>
    <col min="14" max="14" width="27.7109375" bestFit="1" customWidth="1"/>
    <col min="15" max="15" width="25.42578125" bestFit="1" customWidth="1"/>
    <col min="16" max="16" width="26.42578125" bestFit="1" customWidth="1"/>
  </cols>
  <sheetData>
    <row r="2" spans="2:7" ht="39" x14ac:dyDescent="0.6">
      <c r="B2" s="1" t="s">
        <v>23</v>
      </c>
    </row>
    <row r="6" spans="2:7" ht="26.25" x14ac:dyDescent="0.4">
      <c r="B6" s="2" t="s">
        <v>24</v>
      </c>
    </row>
    <row r="8" spans="2:7" ht="28.5" customHeight="1" x14ac:dyDescent="0.25">
      <c r="B8" s="61" t="s">
        <v>25</v>
      </c>
      <c r="C8" s="48" t="s">
        <v>26</v>
      </c>
      <c r="D8" s="48" t="s">
        <v>27</v>
      </c>
      <c r="E8" s="48" t="s">
        <v>28</v>
      </c>
      <c r="F8" s="48" t="s">
        <v>29</v>
      </c>
    </row>
    <row r="9" spans="2:7" ht="15.75" customHeight="1" x14ac:dyDescent="0.25">
      <c r="B9" s="49" t="s">
        <v>30</v>
      </c>
      <c r="C9" s="31">
        <v>2964388.8411610667</v>
      </c>
      <c r="D9" s="31">
        <v>114280.14316666666</v>
      </c>
      <c r="E9" s="31">
        <v>3683189.2284521991</v>
      </c>
      <c r="F9" s="31">
        <v>49</v>
      </c>
    </row>
    <row r="10" spans="2:7" ht="16.5" customHeight="1" x14ac:dyDescent="0.25">
      <c r="B10" s="51" t="s">
        <v>31</v>
      </c>
      <c r="C10" s="39">
        <v>220019.49756095037</v>
      </c>
      <c r="D10" s="39">
        <v>12483.56073333333</v>
      </c>
      <c r="E10" s="39">
        <v>298538.72269707761</v>
      </c>
      <c r="F10" s="39">
        <v>7</v>
      </c>
    </row>
    <row r="11" spans="2:7" x14ac:dyDescent="0.25">
      <c r="B11" s="49" t="s">
        <v>32</v>
      </c>
      <c r="C11" s="31">
        <v>149717.72678533298</v>
      </c>
      <c r="D11" s="31">
        <v>3450.3438666666671</v>
      </c>
      <c r="E11" s="31">
        <v>171419.73414133166</v>
      </c>
      <c r="F11" s="31">
        <v>31</v>
      </c>
    </row>
    <row r="12" spans="2:7" x14ac:dyDescent="0.25">
      <c r="B12" s="51" t="s">
        <v>33</v>
      </c>
      <c r="C12" s="39">
        <v>32097.99192169532</v>
      </c>
      <c r="D12" s="39">
        <v>1141.1319333333333</v>
      </c>
      <c r="E12" s="39">
        <v>39275.49496729466</v>
      </c>
      <c r="F12" s="39">
        <v>64</v>
      </c>
    </row>
    <row r="13" spans="2:7" x14ac:dyDescent="0.25">
      <c r="B13" s="49" t="s">
        <v>34</v>
      </c>
      <c r="C13" s="31">
        <v>19674.811447034332</v>
      </c>
      <c r="D13" s="31">
        <v>2686.5595999999996</v>
      </c>
      <c r="E13" s="31">
        <v>36572.760884710318</v>
      </c>
      <c r="F13" s="31">
        <v>78</v>
      </c>
      <c r="G13" s="50"/>
    </row>
    <row r="14" spans="2:7" x14ac:dyDescent="0.25">
      <c r="B14" s="51" t="s">
        <v>35</v>
      </c>
      <c r="C14" s="39">
        <v>11611.462253712001</v>
      </c>
      <c r="D14" s="39">
        <v>13842.455766666668</v>
      </c>
      <c r="E14" s="39">
        <v>98677.878959449677</v>
      </c>
      <c r="F14" s="39">
        <v>6</v>
      </c>
    </row>
    <row r="15" spans="2:7" x14ac:dyDescent="0.25">
      <c r="B15" s="49" t="s">
        <v>36</v>
      </c>
      <c r="C15" s="31">
        <v>8771.9986040650019</v>
      </c>
      <c r="D15" s="31">
        <v>67.968800000000002</v>
      </c>
      <c r="E15" s="31">
        <v>9199.5094419929992</v>
      </c>
      <c r="F15" s="31">
        <v>18</v>
      </c>
    </row>
    <row r="16" spans="2:7" x14ac:dyDescent="0.25">
      <c r="B16" s="51" t="s">
        <v>37</v>
      </c>
      <c r="C16" s="39">
        <v>1816.466727251667</v>
      </c>
      <c r="D16" s="39">
        <v>683.2903</v>
      </c>
      <c r="E16" s="39">
        <v>6114.2328890946674</v>
      </c>
      <c r="F16" s="39">
        <v>11</v>
      </c>
    </row>
    <row r="17" spans="2:6" x14ac:dyDescent="0.25">
      <c r="B17" s="49" t="s">
        <v>38</v>
      </c>
      <c r="C17" s="31">
        <v>723.70805452399998</v>
      </c>
      <c r="D17" s="31">
        <v>0.9288333333333334</v>
      </c>
      <c r="E17" s="31">
        <v>729.55023971233334</v>
      </c>
      <c r="F17" s="31">
        <v>2</v>
      </c>
    </row>
    <row r="18" spans="2:6" x14ac:dyDescent="0.25">
      <c r="B18" s="51" t="s">
        <v>39</v>
      </c>
      <c r="C18" s="39">
        <v>73.650739855333327</v>
      </c>
      <c r="D18" s="39">
        <v>1410.8394999999998</v>
      </c>
      <c r="E18" s="39">
        <v>8947.5631353503322</v>
      </c>
      <c r="F18" s="39">
        <v>7</v>
      </c>
    </row>
    <row r="19" spans="2:6" x14ac:dyDescent="0.25">
      <c r="B19" s="49" t="s">
        <v>40</v>
      </c>
      <c r="C19" s="31">
        <v>0</v>
      </c>
      <c r="D19" s="31">
        <v>26.555333333333333</v>
      </c>
      <c r="E19" s="31">
        <v>167.02800115333332</v>
      </c>
      <c r="F19" s="31">
        <v>1</v>
      </c>
    </row>
    <row r="20" spans="2:6" ht="21" customHeight="1" x14ac:dyDescent="0.25">
      <c r="B20" s="61" t="s">
        <v>22</v>
      </c>
      <c r="C20" s="25">
        <v>3408896.1552554877</v>
      </c>
      <c r="D20" s="25">
        <v>150073.77783333333</v>
      </c>
      <c r="E20" s="25">
        <v>4352831.7038093666</v>
      </c>
      <c r="F20" s="25">
        <v>274</v>
      </c>
    </row>
    <row r="21" spans="2:6" s="11" customFormat="1" ht="21" customHeight="1" x14ac:dyDescent="0.25">
      <c r="B21" s="62"/>
      <c r="C21" s="63"/>
      <c r="D21" s="63"/>
      <c r="E21" s="63"/>
      <c r="F21" s="64"/>
    </row>
    <row r="22" spans="2:6" ht="26.25" x14ac:dyDescent="0.4">
      <c r="B22" s="2" t="s">
        <v>41</v>
      </c>
    </row>
    <row r="24" spans="2:6" ht="30" customHeight="1" x14ac:dyDescent="0.25">
      <c r="B24" s="65" t="s">
        <v>42</v>
      </c>
      <c r="C24" s="52" t="s">
        <v>26</v>
      </c>
      <c r="D24" s="52" t="s">
        <v>27</v>
      </c>
      <c r="E24" s="52" t="s">
        <v>28</v>
      </c>
      <c r="F24" s="52" t="s">
        <v>29</v>
      </c>
    </row>
    <row r="25" spans="2:6" x14ac:dyDescent="0.25">
      <c r="B25" s="86" t="s">
        <v>43</v>
      </c>
      <c r="C25" s="87">
        <v>2613728.9562746738</v>
      </c>
      <c r="D25" s="87">
        <v>118805.8052</v>
      </c>
      <c r="E25" s="87">
        <v>3360994.8978796853</v>
      </c>
      <c r="F25" s="39">
        <v>29</v>
      </c>
    </row>
    <row r="26" spans="2:6" x14ac:dyDescent="0.25">
      <c r="B26" s="88" t="s">
        <v>44</v>
      </c>
      <c r="C26" s="89">
        <v>705222.43963253731</v>
      </c>
      <c r="D26" s="89">
        <v>10715.625233333332</v>
      </c>
      <c r="E26" s="89">
        <v>772621.68638140953</v>
      </c>
      <c r="F26" s="31">
        <v>31</v>
      </c>
    </row>
    <row r="27" spans="2:6" x14ac:dyDescent="0.25">
      <c r="B27" s="86" t="s">
        <v>45</v>
      </c>
      <c r="C27" s="87">
        <v>32821.699976219323</v>
      </c>
      <c r="D27" s="87">
        <v>1142.0607666666665</v>
      </c>
      <c r="E27" s="87">
        <v>40005.045207007002</v>
      </c>
      <c r="F27" s="39">
        <v>66</v>
      </c>
    </row>
    <row r="28" spans="2:6" x14ac:dyDescent="0.25">
      <c r="B28" s="88" t="s">
        <v>46</v>
      </c>
      <c r="C28" s="89">
        <v>19669.765971112662</v>
      </c>
      <c r="D28" s="89">
        <v>2595.9049666666665</v>
      </c>
      <c r="E28" s="89">
        <v>35997.514989502306</v>
      </c>
      <c r="F28" s="31">
        <v>72</v>
      </c>
    </row>
    <row r="29" spans="2:6" x14ac:dyDescent="0.25">
      <c r="B29" s="86" t="s">
        <v>32</v>
      </c>
      <c r="C29" s="87">
        <v>15174.669600139669</v>
      </c>
      <c r="D29" s="87">
        <v>692.61733333333336</v>
      </c>
      <c r="E29" s="87">
        <v>19531.101029513</v>
      </c>
      <c r="F29" s="39">
        <v>27</v>
      </c>
    </row>
    <row r="30" spans="2:6" x14ac:dyDescent="0.25">
      <c r="B30" s="88" t="s">
        <v>47</v>
      </c>
      <c r="C30" s="89">
        <v>11385.739632581668</v>
      </c>
      <c r="D30" s="89">
        <v>13203.964133333333</v>
      </c>
      <c r="E30" s="89">
        <v>94436.165278062996</v>
      </c>
      <c r="F30" s="31">
        <v>5</v>
      </c>
    </row>
    <row r="31" spans="2:6" x14ac:dyDescent="0.25">
      <c r="B31" s="86" t="s">
        <v>36</v>
      </c>
      <c r="C31" s="87">
        <v>8771.9986040650019</v>
      </c>
      <c r="D31" s="87">
        <v>67.968800000000002</v>
      </c>
      <c r="E31" s="87">
        <v>9199.5094419929992</v>
      </c>
      <c r="F31" s="39">
        <v>18</v>
      </c>
    </row>
    <row r="32" spans="2:6" x14ac:dyDescent="0.25">
      <c r="B32" s="88" t="s">
        <v>37</v>
      </c>
      <c r="C32" s="90">
        <v>1816.466727251667</v>
      </c>
      <c r="D32" s="90">
        <v>683.2903</v>
      </c>
      <c r="E32" s="90">
        <v>6114.2328890946674</v>
      </c>
      <c r="F32" s="31">
        <v>11</v>
      </c>
    </row>
    <row r="33" spans="2:6" x14ac:dyDescent="0.25">
      <c r="B33" s="86" t="s">
        <v>35</v>
      </c>
      <c r="C33" s="87">
        <v>225.72262113033335</v>
      </c>
      <c r="D33" s="87">
        <v>638.49163333333331</v>
      </c>
      <c r="E33" s="87">
        <v>4241.7136813866664</v>
      </c>
      <c r="F33" s="39">
        <v>1</v>
      </c>
    </row>
    <row r="34" spans="2:6" x14ac:dyDescent="0.25">
      <c r="B34" s="88" t="s">
        <v>48</v>
      </c>
      <c r="C34" s="89">
        <v>41.334534716666667</v>
      </c>
      <c r="D34" s="89">
        <v>3.5136333333333334</v>
      </c>
      <c r="E34" s="89">
        <v>63.434620793000008</v>
      </c>
      <c r="F34" s="31">
        <v>1</v>
      </c>
    </row>
    <row r="35" spans="2:6" x14ac:dyDescent="0.25">
      <c r="B35" s="86" t="s">
        <v>50</v>
      </c>
      <c r="C35" s="87">
        <v>32.316205138666668</v>
      </c>
      <c r="D35" s="87">
        <v>1407.3258666666666</v>
      </c>
      <c r="E35" s="87">
        <v>8884.1285145573329</v>
      </c>
      <c r="F35" s="39">
        <v>6</v>
      </c>
    </row>
    <row r="36" spans="2:6" x14ac:dyDescent="0.25">
      <c r="B36" s="88" t="s">
        <v>49</v>
      </c>
      <c r="C36" s="89">
        <v>5.0454759216666671</v>
      </c>
      <c r="D36" s="89">
        <v>90.654633333333337</v>
      </c>
      <c r="E36" s="89">
        <v>575.24589520799998</v>
      </c>
      <c r="F36" s="31">
        <v>6</v>
      </c>
    </row>
    <row r="37" spans="2:6" x14ac:dyDescent="0.25">
      <c r="B37" s="86" t="s">
        <v>40</v>
      </c>
      <c r="C37" s="87">
        <v>0</v>
      </c>
      <c r="D37" s="87">
        <v>26.555333333333333</v>
      </c>
      <c r="E37" s="87">
        <v>167.02800115333332</v>
      </c>
      <c r="F37" s="39">
        <v>1</v>
      </c>
    </row>
    <row r="38" spans="2:6" x14ac:dyDescent="0.25">
      <c r="B38" s="91" t="s">
        <v>22</v>
      </c>
      <c r="C38" s="92">
        <v>3408896.1552554881</v>
      </c>
      <c r="D38" s="92">
        <v>150073.77783333333</v>
      </c>
      <c r="E38" s="92">
        <v>4352831.7038093666</v>
      </c>
      <c r="F38" s="25">
        <v>274</v>
      </c>
    </row>
    <row r="39" spans="2:6" s="11" customFormat="1" x14ac:dyDescent="0.25">
      <c r="B39" s="66"/>
      <c r="C39" s="66"/>
      <c r="D39" s="66"/>
      <c r="E39" s="66"/>
      <c r="F39" s="66"/>
    </row>
    <row r="40" spans="2:6" ht="26.25" x14ac:dyDescent="0.4">
      <c r="B40" s="2" t="s">
        <v>51</v>
      </c>
    </row>
    <row r="42" spans="2:6" x14ac:dyDescent="0.25">
      <c r="B42" s="23" t="s">
        <v>52</v>
      </c>
      <c r="C42" s="23" t="s">
        <v>53</v>
      </c>
      <c r="D42" s="23" t="s">
        <v>26</v>
      </c>
      <c r="E42" s="23" t="s">
        <v>27</v>
      </c>
      <c r="F42" s="23" t="s">
        <v>28</v>
      </c>
    </row>
    <row r="43" spans="2:6" x14ac:dyDescent="0.25">
      <c r="B43" s="24">
        <v>1</v>
      </c>
      <c r="C43" s="94" t="s">
        <v>54</v>
      </c>
      <c r="D43" s="59">
        <v>3020503.5787857617</v>
      </c>
      <c r="E43" s="59">
        <v>139183.14479999998</v>
      </c>
      <c r="F43" s="59">
        <v>3895939.1147802491</v>
      </c>
    </row>
    <row r="44" spans="2:6" x14ac:dyDescent="0.25">
      <c r="B44" s="22">
        <v>2</v>
      </c>
      <c r="C44" s="95" t="s">
        <v>56</v>
      </c>
      <c r="D44" s="96">
        <v>74667.401261776002</v>
      </c>
      <c r="E44" s="96">
        <v>948.14803333333327</v>
      </c>
      <c r="F44" s="96">
        <v>80631.072243316332</v>
      </c>
    </row>
    <row r="45" spans="2:6" ht="15.75" customHeight="1" x14ac:dyDescent="0.25">
      <c r="B45" s="24">
        <v>3</v>
      </c>
      <c r="C45" s="94" t="s">
        <v>55</v>
      </c>
      <c r="D45" s="59">
        <v>77855.355818019336</v>
      </c>
      <c r="E45" s="59">
        <v>193.05063333333334</v>
      </c>
      <c r="F45" s="59">
        <v>79069.607622065669</v>
      </c>
    </row>
    <row r="46" spans="2:6" x14ac:dyDescent="0.25">
      <c r="B46" s="22">
        <v>4</v>
      </c>
      <c r="C46" s="95" t="s">
        <v>57</v>
      </c>
      <c r="D46" s="96">
        <v>53206.685274280004</v>
      </c>
      <c r="E46" s="96">
        <v>1828.0084999999999</v>
      </c>
      <c r="F46" s="96">
        <v>64704.51141766501</v>
      </c>
    </row>
    <row r="47" spans="2:6" ht="15.75" customHeight="1" x14ac:dyDescent="0.25">
      <c r="B47" s="24">
        <v>5</v>
      </c>
      <c r="C47" s="94" t="s">
        <v>59</v>
      </c>
      <c r="D47" s="59">
        <v>22134.928478828333</v>
      </c>
      <c r="E47" s="59">
        <v>517.84043333333329</v>
      </c>
      <c r="F47" s="59">
        <v>25392.046414812667</v>
      </c>
    </row>
    <row r="48" spans="2:6" x14ac:dyDescent="0.25">
      <c r="B48" s="22">
        <v>6</v>
      </c>
      <c r="C48" s="95" t="s">
        <v>58</v>
      </c>
      <c r="D48" s="96">
        <v>22440.355991599336</v>
      </c>
      <c r="E48" s="96">
        <v>217.53290000000001</v>
      </c>
      <c r="F48" s="96">
        <v>23808.596601348334</v>
      </c>
    </row>
    <row r="49" spans="2:6" x14ac:dyDescent="0.25">
      <c r="B49" s="24">
        <v>7</v>
      </c>
      <c r="C49" s="94" t="s">
        <v>60</v>
      </c>
      <c r="D49" s="59">
        <v>16100.062718577332</v>
      </c>
      <c r="E49" s="59">
        <v>573.40993333333324</v>
      </c>
      <c r="F49" s="59">
        <v>19706.702251356666</v>
      </c>
    </row>
    <row r="50" spans="2:6" x14ac:dyDescent="0.25">
      <c r="B50" s="22">
        <v>8</v>
      </c>
      <c r="C50" s="95" t="s">
        <v>66</v>
      </c>
      <c r="D50" s="96">
        <v>16856.177132183333</v>
      </c>
      <c r="E50" s="96">
        <v>129.31030000000001</v>
      </c>
      <c r="F50" s="96">
        <v>17669.514350226331</v>
      </c>
    </row>
    <row r="51" spans="2:6" x14ac:dyDescent="0.25">
      <c r="B51" s="24">
        <v>9</v>
      </c>
      <c r="C51" s="94" t="s">
        <v>63</v>
      </c>
      <c r="D51" s="59">
        <v>16567.333751779002</v>
      </c>
      <c r="E51" s="59">
        <v>67.899966666666657</v>
      </c>
      <c r="F51" s="59">
        <v>16994.411641118662</v>
      </c>
    </row>
    <row r="52" spans="2:6" x14ac:dyDescent="0.25">
      <c r="B52" s="22">
        <v>10</v>
      </c>
      <c r="C52" s="95" t="s">
        <v>61</v>
      </c>
      <c r="D52" s="96">
        <v>16121.935532852334</v>
      </c>
      <c r="E52" s="96">
        <v>68.213099999999997</v>
      </c>
      <c r="F52" s="96">
        <v>16550.982971363333</v>
      </c>
    </row>
    <row r="53" spans="2:6" x14ac:dyDescent="0.25">
      <c r="B53" s="24">
        <v>11</v>
      </c>
      <c r="C53" s="94" t="s">
        <v>64</v>
      </c>
      <c r="D53" s="59">
        <v>14203.873488217001</v>
      </c>
      <c r="E53" s="59">
        <v>42.442833333333326</v>
      </c>
      <c r="F53" s="59">
        <v>14470.830845745333</v>
      </c>
    </row>
    <row r="54" spans="2:6" x14ac:dyDescent="0.25">
      <c r="B54" s="22">
        <v>12</v>
      </c>
      <c r="C54" s="95" t="s">
        <v>65</v>
      </c>
      <c r="D54" s="96">
        <v>9415.1497073536684</v>
      </c>
      <c r="E54" s="96">
        <v>771.34433333333334</v>
      </c>
      <c r="F54" s="96">
        <v>14266.759008597001</v>
      </c>
    </row>
    <row r="55" spans="2:6" ht="15" customHeight="1" x14ac:dyDescent="0.25">
      <c r="B55" s="24">
        <v>13</v>
      </c>
      <c r="C55" s="94" t="s">
        <v>73</v>
      </c>
      <c r="D55" s="59">
        <v>258.03882626900003</v>
      </c>
      <c r="E55" s="59">
        <v>2045.8174999999999</v>
      </c>
      <c r="F55" s="59">
        <v>13125.842195943998</v>
      </c>
    </row>
    <row r="56" spans="2:6" x14ac:dyDescent="0.25">
      <c r="B56" s="22">
        <v>14</v>
      </c>
      <c r="C56" s="95" t="s">
        <v>69</v>
      </c>
      <c r="D56" s="96">
        <v>8428.7240465620016</v>
      </c>
      <c r="E56" s="96">
        <v>62.880899999999997</v>
      </c>
      <c r="F56" s="96">
        <v>8824.2329601910005</v>
      </c>
    </row>
    <row r="57" spans="2:6" x14ac:dyDescent="0.25">
      <c r="B57" s="24">
        <v>15</v>
      </c>
      <c r="C57" s="94" t="s">
        <v>68</v>
      </c>
      <c r="D57" s="59">
        <v>6931.6582739773339</v>
      </c>
      <c r="E57" s="59">
        <v>73.304533333333339</v>
      </c>
      <c r="F57" s="59">
        <v>7392.7298607826669</v>
      </c>
    </row>
    <row r="58" spans="2:6" x14ac:dyDescent="0.25">
      <c r="B58" s="22">
        <v>16</v>
      </c>
      <c r="C58" s="95" t="s">
        <v>70</v>
      </c>
      <c r="D58" s="96">
        <v>1812.9574325923329</v>
      </c>
      <c r="E58" s="96">
        <v>844.83330000000012</v>
      </c>
      <c r="F58" s="96">
        <v>7126.798371265334</v>
      </c>
    </row>
    <row r="59" spans="2:6" x14ac:dyDescent="0.25">
      <c r="B59" s="24">
        <v>17</v>
      </c>
      <c r="C59" s="94" t="s">
        <v>71</v>
      </c>
      <c r="D59" s="59">
        <v>5292.0698096596661</v>
      </c>
      <c r="E59" s="59">
        <v>182.63590000000002</v>
      </c>
      <c r="F59" s="59">
        <v>6440.8149198386664</v>
      </c>
    </row>
    <row r="60" spans="2:6" x14ac:dyDescent="0.25">
      <c r="B60" s="22">
        <v>18</v>
      </c>
      <c r="C60" s="95" t="s">
        <v>72</v>
      </c>
      <c r="D60" s="96">
        <v>5886.7591848603342</v>
      </c>
      <c r="E60" s="96">
        <v>60.447733333333332</v>
      </c>
      <c r="F60" s="96">
        <v>6266.9639424576681</v>
      </c>
    </row>
    <row r="61" spans="2:6" x14ac:dyDescent="0.25">
      <c r="B61" s="24">
        <v>19</v>
      </c>
      <c r="C61" s="94" t="s">
        <v>67</v>
      </c>
      <c r="D61" s="59">
        <v>1552.4643224613333</v>
      </c>
      <c r="E61" s="59">
        <v>678.48983333333331</v>
      </c>
      <c r="F61" s="59">
        <v>5820.0364610596671</v>
      </c>
    </row>
    <row r="62" spans="2:6" x14ac:dyDescent="0.25">
      <c r="B62" s="22">
        <v>20</v>
      </c>
      <c r="C62" s="95" t="s">
        <v>62</v>
      </c>
      <c r="D62" s="96">
        <v>5010.2739517</v>
      </c>
      <c r="E62" s="96">
        <v>34.0167</v>
      </c>
      <c r="F62" s="96">
        <v>5224.232531527</v>
      </c>
    </row>
    <row r="63" spans="2:6" x14ac:dyDescent="0.25">
      <c r="B63" s="24">
        <v>21</v>
      </c>
      <c r="C63" s="94" t="s">
        <v>74</v>
      </c>
      <c r="D63" s="59">
        <v>1852.6673093860002</v>
      </c>
      <c r="E63" s="59">
        <v>478.6883666666667</v>
      </c>
      <c r="F63" s="59">
        <v>4863.5261849296667</v>
      </c>
    </row>
    <row r="64" spans="2:6" x14ac:dyDescent="0.25">
      <c r="B64" s="22">
        <v>22</v>
      </c>
      <c r="C64" s="95" t="s">
        <v>75</v>
      </c>
      <c r="D64" s="96">
        <v>1758.665889275667</v>
      </c>
      <c r="E64" s="96">
        <v>359.1534666666667</v>
      </c>
      <c r="F64" s="96">
        <v>4017.6729554503336</v>
      </c>
    </row>
    <row r="65" spans="2:6" x14ac:dyDescent="0.25">
      <c r="B65" s="24">
        <v>23</v>
      </c>
      <c r="C65" s="94" t="s">
        <v>76</v>
      </c>
      <c r="D65" s="59">
        <v>2809.9503935046669</v>
      </c>
      <c r="E65" s="59">
        <v>115.64750000000001</v>
      </c>
      <c r="F65" s="59">
        <v>3537.3511954796677</v>
      </c>
    </row>
    <row r="66" spans="2:6" x14ac:dyDescent="0.25">
      <c r="B66" s="22">
        <v>24</v>
      </c>
      <c r="C66" s="95" t="s">
        <v>77</v>
      </c>
      <c r="D66" s="96">
        <v>2180.9050277823339</v>
      </c>
      <c r="E66" s="96">
        <v>76.911366666666666</v>
      </c>
      <c r="F66" s="96">
        <v>2664.6629109560004</v>
      </c>
    </row>
    <row r="67" spans="2:6" x14ac:dyDescent="0.25">
      <c r="B67" s="24">
        <v>25</v>
      </c>
      <c r="C67" s="94" t="s">
        <v>78</v>
      </c>
      <c r="D67" s="59">
        <v>1527.5430469396667</v>
      </c>
      <c r="E67" s="59">
        <v>71.173633333333342</v>
      </c>
      <c r="F67" s="59">
        <v>1975.2116776160001</v>
      </c>
    </row>
    <row r="68" spans="2:6" x14ac:dyDescent="0.25">
      <c r="B68" s="22">
        <v>26</v>
      </c>
      <c r="C68" s="95" t="s">
        <v>79</v>
      </c>
      <c r="D68" s="96">
        <v>44.624734327666673</v>
      </c>
      <c r="E68" s="96">
        <v>205.42753333333332</v>
      </c>
      <c r="F68" s="96">
        <v>1336.724887763</v>
      </c>
    </row>
    <row r="69" spans="2:6" x14ac:dyDescent="0.25">
      <c r="B69" s="24">
        <v>27</v>
      </c>
      <c r="C69" s="94" t="s">
        <v>80</v>
      </c>
      <c r="D69" s="59">
        <v>723.70805452399998</v>
      </c>
      <c r="E69" s="59">
        <v>0.9288333333333334</v>
      </c>
      <c r="F69" s="59">
        <v>729.55023971233334</v>
      </c>
    </row>
    <row r="70" spans="2:6" x14ac:dyDescent="0.25">
      <c r="B70" s="22">
        <v>28</v>
      </c>
      <c r="C70" s="95" t="s">
        <v>81</v>
      </c>
      <c r="D70" s="96">
        <v>592.72485787733342</v>
      </c>
      <c r="E70" s="96">
        <v>0.29750000000000004</v>
      </c>
      <c r="F70" s="96">
        <v>594.5960763523334</v>
      </c>
    </row>
    <row r="71" spans="2:6" ht="15" customHeight="1" x14ac:dyDescent="0.25">
      <c r="B71" s="24">
        <v>29</v>
      </c>
      <c r="C71" s="94" t="s">
        <v>83</v>
      </c>
      <c r="D71" s="59">
        <v>6.091680985</v>
      </c>
      <c r="E71" s="59">
        <v>88.817399999999992</v>
      </c>
      <c r="F71" s="59">
        <v>564.73625167899991</v>
      </c>
    </row>
    <row r="72" spans="2:6" x14ac:dyDescent="0.25">
      <c r="B72" s="22">
        <v>30</v>
      </c>
      <c r="C72" s="95" t="s">
        <v>82</v>
      </c>
      <c r="D72" s="96">
        <v>365.93632361233335</v>
      </c>
      <c r="E72" s="96">
        <v>9.3930333333333333</v>
      </c>
      <c r="F72" s="96">
        <v>425.01671860266663</v>
      </c>
    </row>
    <row r="73" spans="2:6" x14ac:dyDescent="0.25">
      <c r="B73" s="24">
        <v>31</v>
      </c>
      <c r="C73" s="94" t="s">
        <v>84</v>
      </c>
      <c r="D73" s="59">
        <v>342.34471392466662</v>
      </c>
      <c r="E73" s="59">
        <v>7.2265333333333333</v>
      </c>
      <c r="F73" s="59">
        <v>387.79823555000002</v>
      </c>
    </row>
    <row r="74" spans="2:6" x14ac:dyDescent="0.25">
      <c r="B74" s="22">
        <v>32</v>
      </c>
      <c r="C74" s="95" t="s">
        <v>85</v>
      </c>
      <c r="D74" s="96">
        <v>4.7511128136666674</v>
      </c>
      <c r="E74" s="96">
        <v>51.750866666666667</v>
      </c>
      <c r="F74" s="96">
        <v>330.2542314823333</v>
      </c>
    </row>
    <row r="75" spans="2:6" x14ac:dyDescent="0.25">
      <c r="B75" s="24">
        <v>33</v>
      </c>
      <c r="C75" s="94" t="s">
        <v>86</v>
      </c>
      <c r="D75" s="59">
        <v>292.29376051000003</v>
      </c>
      <c r="E75" s="59">
        <v>0.21990000000000001</v>
      </c>
      <c r="F75" s="59">
        <v>293.67688972900004</v>
      </c>
    </row>
    <row r="76" spans="2:6" x14ac:dyDescent="0.25">
      <c r="B76" s="22">
        <v>34</v>
      </c>
      <c r="C76" s="95" t="s">
        <v>87</v>
      </c>
      <c r="D76" s="96">
        <v>125.00578054333333</v>
      </c>
      <c r="E76" s="96">
        <v>17.507166666666667</v>
      </c>
      <c r="F76" s="96">
        <v>235.12253251500002</v>
      </c>
    </row>
    <row r="77" spans="2:6" x14ac:dyDescent="0.25">
      <c r="B77" s="24">
        <v>35</v>
      </c>
      <c r="C77" s="94" t="s">
        <v>88</v>
      </c>
      <c r="D77" s="59">
        <v>177.2673925126667</v>
      </c>
      <c r="E77" s="59">
        <v>2.7455333333333334</v>
      </c>
      <c r="F77" s="59">
        <v>194.536275528</v>
      </c>
    </row>
    <row r="78" spans="2:6" x14ac:dyDescent="0.25">
      <c r="B78" s="22">
        <v>36</v>
      </c>
      <c r="C78" s="95" t="s">
        <v>92</v>
      </c>
      <c r="D78" s="96">
        <v>178.19576846866667</v>
      </c>
      <c r="E78" s="96">
        <v>0.25519999999999998</v>
      </c>
      <c r="F78" s="96">
        <v>179.80092798066664</v>
      </c>
    </row>
    <row r="79" spans="2:6" x14ac:dyDescent="0.25">
      <c r="B79" s="24">
        <v>37</v>
      </c>
      <c r="C79" s="94" t="s">
        <v>89</v>
      </c>
      <c r="D79" s="59">
        <v>134.329585227</v>
      </c>
      <c r="E79" s="59">
        <v>5.8933666666666662</v>
      </c>
      <c r="F79" s="59">
        <v>171.39774182066668</v>
      </c>
    </row>
    <row r="80" spans="2:6" x14ac:dyDescent="0.25">
      <c r="B80" s="22">
        <v>38</v>
      </c>
      <c r="C80" s="95" t="s">
        <v>91</v>
      </c>
      <c r="D80" s="96">
        <v>0</v>
      </c>
      <c r="E80" s="96">
        <v>26.555333333333333</v>
      </c>
      <c r="F80" s="96">
        <v>167.02800115333332</v>
      </c>
    </row>
    <row r="81" spans="1:18" x14ac:dyDescent="0.25">
      <c r="B81" s="24">
        <v>39</v>
      </c>
      <c r="C81" s="94" t="s">
        <v>93</v>
      </c>
      <c r="D81" s="59">
        <v>151.85027030266667</v>
      </c>
      <c r="E81" s="59">
        <v>0.79383333333333339</v>
      </c>
      <c r="F81" s="59">
        <v>156.84333114100002</v>
      </c>
      <c r="G81" s="11"/>
    </row>
    <row r="82" spans="1:18" s="11" customFormat="1" x14ac:dyDescent="0.25">
      <c r="A82"/>
      <c r="B82" s="22">
        <v>40</v>
      </c>
      <c r="C82" s="95" t="s">
        <v>90</v>
      </c>
      <c r="D82" s="96">
        <v>0</v>
      </c>
      <c r="E82" s="96">
        <v>24.632300000000001</v>
      </c>
      <c r="F82" s="96">
        <v>154.93248686300001</v>
      </c>
      <c r="N82"/>
      <c r="O82"/>
      <c r="P82"/>
      <c r="Q82"/>
      <c r="R82"/>
    </row>
    <row r="83" spans="1:18" s="11" customFormat="1" x14ac:dyDescent="0.25">
      <c r="A83"/>
      <c r="B83" s="24">
        <v>41</v>
      </c>
      <c r="C83" s="94" t="s">
        <v>94</v>
      </c>
      <c r="D83" s="59">
        <v>88.059646263666664</v>
      </c>
      <c r="E83" s="59">
        <v>1.4199999999999997</v>
      </c>
      <c r="F83" s="59">
        <v>96.991176463666676</v>
      </c>
      <c r="N83"/>
      <c r="O83"/>
      <c r="P83"/>
      <c r="Q83"/>
      <c r="R83"/>
    </row>
    <row r="84" spans="1:18" x14ac:dyDescent="0.25">
      <c r="B84" s="22">
        <v>42</v>
      </c>
      <c r="C84" s="95" t="s">
        <v>95</v>
      </c>
      <c r="D84" s="96">
        <v>72.016437557000003</v>
      </c>
      <c r="E84" s="96">
        <v>0.74253333333333338</v>
      </c>
      <c r="F84" s="96">
        <v>76.686831142333347</v>
      </c>
      <c r="G84" s="11"/>
    </row>
    <row r="85" spans="1:18" x14ac:dyDescent="0.25">
      <c r="B85" s="24">
        <v>43</v>
      </c>
      <c r="C85" s="94" t="s">
        <v>96</v>
      </c>
      <c r="D85" s="59">
        <v>50.234615866666672</v>
      </c>
      <c r="E85" s="59">
        <v>3.5419333333333336</v>
      </c>
      <c r="F85" s="59">
        <v>72.512703565999999</v>
      </c>
      <c r="G85" s="11"/>
    </row>
    <row r="86" spans="1:18" x14ac:dyDescent="0.25">
      <c r="B86" s="22">
        <v>44</v>
      </c>
      <c r="C86" s="95" t="s">
        <v>97</v>
      </c>
      <c r="D86" s="96">
        <v>42.355580540000005</v>
      </c>
      <c r="E86" s="96">
        <v>0.18833333333333335</v>
      </c>
      <c r="F86" s="96">
        <v>43.540161423333338</v>
      </c>
      <c r="G86" s="11"/>
    </row>
    <row r="87" spans="1:18" x14ac:dyDescent="0.25">
      <c r="A87" s="11"/>
      <c r="B87" s="24">
        <v>45</v>
      </c>
      <c r="C87" s="94" t="s">
        <v>98</v>
      </c>
      <c r="D87" s="59">
        <v>29.678049164333334</v>
      </c>
      <c r="E87" s="59">
        <v>0.76673333333333327</v>
      </c>
      <c r="F87" s="59">
        <v>34.500656151666668</v>
      </c>
      <c r="G87" s="11"/>
    </row>
    <row r="88" spans="1:18" x14ac:dyDescent="0.25">
      <c r="A88" s="11"/>
      <c r="B88" s="22">
        <v>46</v>
      </c>
      <c r="C88" s="95" t="s">
        <v>100</v>
      </c>
      <c r="D88" s="96">
        <v>29.574057639000003</v>
      </c>
      <c r="E88" s="96">
        <v>8.3133333333333323E-2</v>
      </c>
      <c r="F88" s="96">
        <v>30.096950510333333</v>
      </c>
      <c r="G88" s="11"/>
    </row>
    <row r="89" spans="1:18" x14ac:dyDescent="0.25">
      <c r="A89" s="11"/>
      <c r="B89" s="24">
        <v>47</v>
      </c>
      <c r="C89" s="94" t="s">
        <v>99</v>
      </c>
      <c r="D89" s="59">
        <v>27.155416033666665</v>
      </c>
      <c r="E89" s="59">
        <v>2.1166666666666667E-2</v>
      </c>
      <c r="F89" s="59">
        <v>27.288550345333327</v>
      </c>
      <c r="G89" s="11"/>
    </row>
    <row r="90" spans="1:18" x14ac:dyDescent="0.25">
      <c r="A90" s="11"/>
      <c r="B90" s="22">
        <v>48</v>
      </c>
      <c r="C90" s="95" t="s">
        <v>101</v>
      </c>
      <c r="D90" s="96">
        <v>13.489965167333335</v>
      </c>
      <c r="E90" s="96">
        <v>3.2199999999999999E-2</v>
      </c>
      <c r="F90" s="96">
        <v>13.692497049333332</v>
      </c>
      <c r="G90" s="11"/>
    </row>
    <row r="91" spans="1:18" x14ac:dyDescent="0.25">
      <c r="A91" s="11"/>
      <c r="B91" s="24">
        <v>49</v>
      </c>
      <c r="C91" s="94" t="s">
        <v>102</v>
      </c>
      <c r="D91" s="59">
        <v>8.2102986533333322</v>
      </c>
      <c r="E91" s="59">
        <v>1.8333333333333333E-2</v>
      </c>
      <c r="F91" s="59">
        <v>8.3256118366666652</v>
      </c>
      <c r="G91" s="11"/>
    </row>
    <row r="92" spans="1:18" x14ac:dyDescent="0.25">
      <c r="A92" s="11"/>
      <c r="B92" s="22">
        <v>50</v>
      </c>
      <c r="C92" s="95" t="s">
        <v>103</v>
      </c>
      <c r="D92" s="96">
        <v>5.9816093100000005</v>
      </c>
      <c r="E92" s="96">
        <v>7.966666666666665E-2</v>
      </c>
      <c r="F92" s="96">
        <v>6.4826975066666668</v>
      </c>
      <c r="G92" s="11"/>
    </row>
    <row r="93" spans="1:18" x14ac:dyDescent="0.25">
      <c r="A93" s="11"/>
      <c r="B93" s="24">
        <v>51</v>
      </c>
      <c r="C93" s="94" t="s">
        <v>326</v>
      </c>
      <c r="D93" s="59">
        <v>5.1995762666666669</v>
      </c>
      <c r="E93" s="59">
        <v>3.32E-2</v>
      </c>
      <c r="F93" s="59">
        <v>5.4083979586666668</v>
      </c>
      <c r="G93" s="11"/>
    </row>
    <row r="94" spans="1:18" x14ac:dyDescent="0.25">
      <c r="A94" s="11"/>
      <c r="B94" s="22">
        <v>52</v>
      </c>
      <c r="C94" s="95" t="s">
        <v>104</v>
      </c>
      <c r="D94" s="96">
        <v>4.4028670000000005</v>
      </c>
      <c r="E94" s="96">
        <v>6.5000000000000006E-3</v>
      </c>
      <c r="F94" s="96">
        <v>4.4437507650000008</v>
      </c>
      <c r="G94" s="11"/>
    </row>
    <row r="95" spans="1:18" x14ac:dyDescent="0.25">
      <c r="A95" s="11"/>
      <c r="B95" s="22">
        <v>53</v>
      </c>
      <c r="C95" s="95" t="s">
        <v>105</v>
      </c>
      <c r="D95" s="96">
        <v>3.9835463333333334</v>
      </c>
      <c r="E95" s="96">
        <v>0.05</v>
      </c>
      <c r="F95" s="96">
        <v>4.2980368333333328</v>
      </c>
      <c r="G95" s="11"/>
    </row>
    <row r="96" spans="1:18" x14ac:dyDescent="0.25">
      <c r="A96" s="11"/>
      <c r="B96" s="24">
        <v>54</v>
      </c>
      <c r="C96" s="94" t="s">
        <v>106</v>
      </c>
      <c r="D96" s="59">
        <v>1.1740978666666666</v>
      </c>
      <c r="E96" s="59">
        <v>3.2666666666666669E-3</v>
      </c>
      <c r="F96" s="59">
        <v>1.1946445793333331</v>
      </c>
      <c r="G96" s="11"/>
    </row>
    <row r="97" spans="1:7" x14ac:dyDescent="0.25">
      <c r="A97" s="11"/>
      <c r="B97" s="52" t="s">
        <v>22</v>
      </c>
      <c r="C97" s="91"/>
      <c r="D97" s="92">
        <f>SUM(D43:D96)</f>
        <v>3408896.1552554886</v>
      </c>
      <c r="E97" s="92">
        <f>SUM(E43:E96)</f>
        <v>150073.77783333327</v>
      </c>
      <c r="F97" s="92">
        <f>SUM(F43:F96)</f>
        <v>4352831.7038093675</v>
      </c>
      <c r="G97" s="11"/>
    </row>
    <row r="98" spans="1:7" x14ac:dyDescent="0.25">
      <c r="A98" s="11"/>
      <c r="B98" s="67"/>
      <c r="C98" s="68"/>
      <c r="D98" s="69"/>
      <c r="E98" s="69"/>
      <c r="F98" s="69"/>
      <c r="G98" s="11"/>
    </row>
    <row r="99" spans="1:7" x14ac:dyDescent="0.25">
      <c r="A99" s="11"/>
      <c r="B99" s="67"/>
      <c r="C99" s="68"/>
      <c r="D99" s="69"/>
      <c r="E99" s="69"/>
      <c r="F99" s="69"/>
      <c r="G99" s="11"/>
    </row>
    <row r="100" spans="1:7" ht="13.5" customHeight="1" x14ac:dyDescent="0.25">
      <c r="A100" s="11"/>
      <c r="B100" s="67"/>
      <c r="C100" s="68"/>
      <c r="D100" s="69"/>
      <c r="E100" s="69"/>
      <c r="F100" s="69"/>
      <c r="G100" s="11"/>
    </row>
    <row r="101" spans="1:7" ht="26.25" x14ac:dyDescent="0.4">
      <c r="B101" s="2" t="s">
        <v>107</v>
      </c>
    </row>
    <row r="103" spans="1:7" x14ac:dyDescent="0.25">
      <c r="B103" s="23" t="s">
        <v>52</v>
      </c>
      <c r="C103" s="23" t="s">
        <v>108</v>
      </c>
      <c r="D103" s="23" t="s">
        <v>26</v>
      </c>
      <c r="E103" s="23" t="s">
        <v>27</v>
      </c>
      <c r="F103" s="23" t="s">
        <v>28</v>
      </c>
    </row>
    <row r="104" spans="1:7" x14ac:dyDescent="0.25">
      <c r="B104" s="24">
        <v>1</v>
      </c>
      <c r="C104" s="93" t="s">
        <v>54</v>
      </c>
      <c r="D104" s="59">
        <v>2152637.4166038432</v>
      </c>
      <c r="E104" s="59">
        <v>100536.96082534468</v>
      </c>
      <c r="F104" s="59">
        <v>2784995.7981727044</v>
      </c>
    </row>
    <row r="105" spans="1:7" x14ac:dyDescent="0.25">
      <c r="B105" s="22">
        <v>2</v>
      </c>
      <c r="C105" s="97" t="s">
        <v>58</v>
      </c>
      <c r="D105" s="60">
        <v>361493.54007334908</v>
      </c>
      <c r="E105" s="60">
        <v>17624.677813333336</v>
      </c>
      <c r="F105" s="60">
        <v>472349.41483043123</v>
      </c>
    </row>
    <row r="106" spans="1:7" x14ac:dyDescent="0.25">
      <c r="B106" s="24">
        <v>3</v>
      </c>
      <c r="C106" s="93" t="s">
        <v>57</v>
      </c>
      <c r="D106" s="59">
        <v>138632.79331673047</v>
      </c>
      <c r="E106" s="59">
        <v>6564.9983599774323</v>
      </c>
      <c r="F106" s="59">
        <v>179925.38565130014</v>
      </c>
    </row>
    <row r="107" spans="1:7" x14ac:dyDescent="0.25">
      <c r="B107" s="22">
        <v>4</v>
      </c>
      <c r="C107" s="97" t="s">
        <v>109</v>
      </c>
      <c r="D107" s="60">
        <v>97483.839229211968</v>
      </c>
      <c r="E107" s="60">
        <v>4523.7023466666669</v>
      </c>
      <c r="F107" s="60">
        <v>125937.06748629943</v>
      </c>
    </row>
    <row r="108" spans="1:7" x14ac:dyDescent="0.25">
      <c r="B108" s="24">
        <v>5</v>
      </c>
      <c r="C108" s="93" t="s">
        <v>110</v>
      </c>
      <c r="D108" s="59">
        <v>69213.164551587528</v>
      </c>
      <c r="E108" s="59">
        <v>3745.1770642730166</v>
      </c>
      <c r="F108" s="59">
        <v>92769.616702222585</v>
      </c>
    </row>
    <row r="109" spans="1:7" x14ac:dyDescent="0.25">
      <c r="B109" s="22">
        <v>6</v>
      </c>
      <c r="C109" s="97" t="s">
        <v>56</v>
      </c>
      <c r="D109" s="60">
        <v>63512.866712054034</v>
      </c>
      <c r="E109" s="60">
        <v>817.60791226000003</v>
      </c>
      <c r="F109" s="60">
        <v>68655.465134666098</v>
      </c>
    </row>
    <row r="110" spans="1:7" x14ac:dyDescent="0.25">
      <c r="B110" s="24">
        <v>7</v>
      </c>
      <c r="C110" s="93" t="s">
        <v>111</v>
      </c>
      <c r="D110" s="59">
        <v>52513.267330331444</v>
      </c>
      <c r="E110" s="59">
        <v>2259.9162466666667</v>
      </c>
      <c r="F110" s="59">
        <v>66727.711137777907</v>
      </c>
    </row>
    <row r="111" spans="1:7" x14ac:dyDescent="0.25">
      <c r="B111" s="22">
        <v>8</v>
      </c>
      <c r="C111" s="97" t="s">
        <v>114</v>
      </c>
      <c r="D111" s="60">
        <v>65934.294020563335</v>
      </c>
      <c r="E111" s="60">
        <v>113.315032052239</v>
      </c>
      <c r="F111" s="60">
        <v>66647.024042315825</v>
      </c>
    </row>
    <row r="112" spans="1:7" x14ac:dyDescent="0.25">
      <c r="B112" s="24">
        <v>9</v>
      </c>
      <c r="C112" s="93" t="s">
        <v>112</v>
      </c>
      <c r="D112" s="59">
        <v>44068.512403090368</v>
      </c>
      <c r="E112" s="59">
        <v>2663.8498388031749</v>
      </c>
      <c r="F112" s="59">
        <v>60823.621757692963</v>
      </c>
    </row>
    <row r="113" spans="2:6" x14ac:dyDescent="0.25">
      <c r="B113" s="22">
        <v>10</v>
      </c>
      <c r="C113" s="97" t="s">
        <v>113</v>
      </c>
      <c r="D113" s="60">
        <v>47114.191949835484</v>
      </c>
      <c r="E113" s="60">
        <v>1051.6308481080748</v>
      </c>
      <c r="F113" s="60">
        <v>53728.750174574132</v>
      </c>
    </row>
    <row r="114" spans="2:6" x14ac:dyDescent="0.25">
      <c r="B114" s="24">
        <v>11</v>
      </c>
      <c r="C114" s="93" t="s">
        <v>55</v>
      </c>
      <c r="D114" s="59">
        <v>46713.213490811599</v>
      </c>
      <c r="E114" s="59">
        <v>115.83038000000001</v>
      </c>
      <c r="F114" s="59">
        <v>47441.764573239401</v>
      </c>
    </row>
    <row r="115" spans="2:6" x14ac:dyDescent="0.25">
      <c r="B115" s="22">
        <v>12</v>
      </c>
      <c r="C115" s="97" t="s">
        <v>115</v>
      </c>
      <c r="D115" s="60">
        <v>31142.142327207734</v>
      </c>
      <c r="E115" s="60">
        <v>77.220253333333332</v>
      </c>
      <c r="F115" s="60">
        <v>31627.843048826267</v>
      </c>
    </row>
    <row r="116" spans="2:6" x14ac:dyDescent="0.25">
      <c r="B116" s="24">
        <v>13</v>
      </c>
      <c r="C116" s="93" t="s">
        <v>116</v>
      </c>
      <c r="D116" s="59">
        <v>24829.267193486499</v>
      </c>
      <c r="E116" s="59">
        <v>784.7647651080747</v>
      </c>
      <c r="F116" s="59">
        <v>29765.288460710919</v>
      </c>
    </row>
    <row r="117" spans="2:6" x14ac:dyDescent="0.25">
      <c r="B117" s="22">
        <v>14</v>
      </c>
      <c r="C117" s="97" t="s">
        <v>117</v>
      </c>
      <c r="D117" s="60">
        <v>25392.603010582585</v>
      </c>
      <c r="E117" s="60">
        <v>518.38493333333338</v>
      </c>
      <c r="F117" s="60">
        <v>28653.145748111918</v>
      </c>
    </row>
    <row r="118" spans="2:6" x14ac:dyDescent="0.25">
      <c r="B118" s="24">
        <v>15</v>
      </c>
      <c r="C118" s="93" t="s">
        <v>59</v>
      </c>
      <c r="D118" s="59">
        <v>22134.928478828337</v>
      </c>
      <c r="E118" s="59">
        <v>517.84043333333329</v>
      </c>
      <c r="F118" s="59">
        <v>25392.04641481267</v>
      </c>
    </row>
    <row r="119" spans="2:6" x14ac:dyDescent="0.25">
      <c r="B119" s="22">
        <v>16</v>
      </c>
      <c r="C119" s="97" t="s">
        <v>64</v>
      </c>
      <c r="D119" s="60">
        <v>20857.911990877157</v>
      </c>
      <c r="E119" s="60">
        <v>117.40913440666667</v>
      </c>
      <c r="F119" s="60">
        <v>21596.393138559553</v>
      </c>
    </row>
    <row r="120" spans="2:6" x14ac:dyDescent="0.25">
      <c r="B120" s="24">
        <v>17</v>
      </c>
      <c r="C120" s="93" t="s">
        <v>66</v>
      </c>
      <c r="D120" s="59">
        <v>16856.177132183333</v>
      </c>
      <c r="E120" s="59">
        <v>129.31030000000001</v>
      </c>
      <c r="F120" s="59">
        <v>17669.514350226334</v>
      </c>
    </row>
    <row r="121" spans="2:6" x14ac:dyDescent="0.25">
      <c r="B121" s="22">
        <v>18</v>
      </c>
      <c r="C121" s="97" t="s">
        <v>63</v>
      </c>
      <c r="D121" s="60">
        <v>16567.333751778999</v>
      </c>
      <c r="E121" s="60">
        <v>67.899966666666671</v>
      </c>
      <c r="F121" s="60">
        <v>16994.411641118666</v>
      </c>
    </row>
    <row r="122" spans="2:6" x14ac:dyDescent="0.25">
      <c r="B122" s="24">
        <v>19</v>
      </c>
      <c r="C122" s="93" t="s">
        <v>61</v>
      </c>
      <c r="D122" s="59">
        <v>16121.935532852332</v>
      </c>
      <c r="E122" s="59">
        <v>68.213099999999997</v>
      </c>
      <c r="F122" s="59">
        <v>16550.982971363333</v>
      </c>
    </row>
    <row r="123" spans="2:6" x14ac:dyDescent="0.25">
      <c r="B123" s="22">
        <v>20</v>
      </c>
      <c r="C123" s="97" t="s">
        <v>65</v>
      </c>
      <c r="D123" s="60">
        <v>8849.2498198586327</v>
      </c>
      <c r="E123" s="60">
        <v>738.05609333333371</v>
      </c>
      <c r="F123" s="60">
        <v>13491.482416267569</v>
      </c>
    </row>
    <row r="124" spans="2:6" x14ac:dyDescent="0.25">
      <c r="B124" s="24">
        <v>21</v>
      </c>
      <c r="C124" s="93" t="s">
        <v>60</v>
      </c>
      <c r="D124" s="59">
        <v>10109.872849775333</v>
      </c>
      <c r="E124" s="59">
        <v>536.34439583333324</v>
      </c>
      <c r="F124" s="59">
        <v>13483.37719413179</v>
      </c>
    </row>
    <row r="125" spans="2:6" x14ac:dyDescent="0.25">
      <c r="B125" s="22">
        <v>22</v>
      </c>
      <c r="C125" s="97" t="s">
        <v>73</v>
      </c>
      <c r="D125" s="60">
        <v>258.03882626900008</v>
      </c>
      <c r="E125" s="60">
        <v>2045.8174999999999</v>
      </c>
      <c r="F125" s="60">
        <v>13125.842195943998</v>
      </c>
    </row>
    <row r="126" spans="2:6" x14ac:dyDescent="0.25">
      <c r="B126" s="24">
        <v>23</v>
      </c>
      <c r="C126" s="93" t="s">
        <v>69</v>
      </c>
      <c r="D126" s="59">
        <v>8428.7240465619998</v>
      </c>
      <c r="E126" s="59">
        <v>62.880899999999997</v>
      </c>
      <c r="F126" s="59">
        <v>8824.2329601910005</v>
      </c>
    </row>
    <row r="127" spans="2:6" x14ac:dyDescent="0.25">
      <c r="B127" s="22">
        <v>24</v>
      </c>
      <c r="C127" s="97" t="s">
        <v>68</v>
      </c>
      <c r="D127" s="60">
        <v>6931.6582739773339</v>
      </c>
      <c r="E127" s="60">
        <v>73.304533333333339</v>
      </c>
      <c r="F127" s="60">
        <v>7392.7298607826669</v>
      </c>
    </row>
    <row r="128" spans="2:6" x14ac:dyDescent="0.25">
      <c r="B128" s="24">
        <v>25</v>
      </c>
      <c r="C128" s="93" t="s">
        <v>70</v>
      </c>
      <c r="D128" s="59">
        <v>1812.9574325923336</v>
      </c>
      <c r="E128" s="59">
        <v>844.83330000000001</v>
      </c>
      <c r="F128" s="59">
        <v>7126.7983712653331</v>
      </c>
    </row>
    <row r="129" spans="2:6" x14ac:dyDescent="0.25">
      <c r="B129" s="22">
        <v>26</v>
      </c>
      <c r="C129" s="97" t="s">
        <v>71</v>
      </c>
      <c r="D129" s="60">
        <v>5292.0698096596661</v>
      </c>
      <c r="E129" s="60">
        <v>182.63590000000002</v>
      </c>
      <c r="F129" s="60">
        <v>6440.8149198386664</v>
      </c>
    </row>
    <row r="130" spans="2:6" x14ac:dyDescent="0.25">
      <c r="B130" s="24">
        <v>27</v>
      </c>
      <c r="C130" s="93" t="s">
        <v>118</v>
      </c>
      <c r="D130" s="59">
        <v>6058.8961177318206</v>
      </c>
      <c r="E130" s="59">
        <v>58.733883000000006</v>
      </c>
      <c r="F130" s="59">
        <v>6428.3210823640511</v>
      </c>
    </row>
    <row r="131" spans="2:6" x14ac:dyDescent="0.25">
      <c r="B131" s="22">
        <v>28</v>
      </c>
      <c r="C131" s="97" t="s">
        <v>72</v>
      </c>
      <c r="D131" s="60">
        <v>5886.7591848603333</v>
      </c>
      <c r="E131" s="60">
        <v>60.447733333333332</v>
      </c>
      <c r="F131" s="60">
        <v>6266.9639424576671</v>
      </c>
    </row>
    <row r="132" spans="2:6" x14ac:dyDescent="0.25">
      <c r="B132" s="24">
        <v>29</v>
      </c>
      <c r="C132" s="93" t="s">
        <v>119</v>
      </c>
      <c r="D132" s="59">
        <v>5990.1898688020001</v>
      </c>
      <c r="E132" s="59">
        <v>37.065537499999998</v>
      </c>
      <c r="F132" s="59">
        <v>6223.3250572248753</v>
      </c>
    </row>
    <row r="133" spans="2:6" x14ac:dyDescent="0.25">
      <c r="B133" s="22">
        <v>30</v>
      </c>
      <c r="C133" s="97" t="s">
        <v>67</v>
      </c>
      <c r="D133" s="60">
        <v>1552.4643224613335</v>
      </c>
      <c r="E133" s="60">
        <v>678.48983333333331</v>
      </c>
      <c r="F133" s="60">
        <v>5820.0364610596671</v>
      </c>
    </row>
    <row r="134" spans="2:6" x14ac:dyDescent="0.25">
      <c r="B134" s="24">
        <v>31</v>
      </c>
      <c r="C134" s="93" t="s">
        <v>62</v>
      </c>
      <c r="D134" s="59">
        <v>5010.2739517</v>
      </c>
      <c r="E134" s="59">
        <v>34.0167</v>
      </c>
      <c r="F134" s="59">
        <v>5224.232531527</v>
      </c>
    </row>
    <row r="135" spans="2:6" x14ac:dyDescent="0.25">
      <c r="B135" s="22">
        <v>32</v>
      </c>
      <c r="C135" s="97" t="s">
        <v>74</v>
      </c>
      <c r="D135" s="60">
        <v>1848.2698935546671</v>
      </c>
      <c r="E135" s="60">
        <v>478.5508466666667</v>
      </c>
      <c r="F135" s="60">
        <v>4858.2637944271337</v>
      </c>
    </row>
    <row r="136" spans="2:6" x14ac:dyDescent="0.25">
      <c r="B136" s="24">
        <v>33</v>
      </c>
      <c r="C136" s="93" t="s">
        <v>75</v>
      </c>
      <c r="D136" s="59">
        <v>1758.6658892756668</v>
      </c>
      <c r="E136" s="59">
        <v>359.1534666666667</v>
      </c>
      <c r="F136" s="59">
        <v>4017.6729554503336</v>
      </c>
    </row>
    <row r="137" spans="2:6" x14ac:dyDescent="0.25">
      <c r="B137" s="22">
        <v>34</v>
      </c>
      <c r="C137" s="97" t="s">
        <v>76</v>
      </c>
      <c r="D137" s="60">
        <v>2774.2923598979169</v>
      </c>
      <c r="E137" s="60">
        <v>115.10720833333333</v>
      </c>
      <c r="F137" s="60">
        <v>3498.2948299449999</v>
      </c>
    </row>
    <row r="138" spans="2:6" ht="18.75" customHeight="1" x14ac:dyDescent="0.25">
      <c r="B138" s="24">
        <v>35</v>
      </c>
      <c r="C138" s="93" t="s">
        <v>77</v>
      </c>
      <c r="D138" s="59">
        <v>2180.9050277823335</v>
      </c>
      <c r="E138" s="59">
        <v>76.911366666666666</v>
      </c>
      <c r="F138" s="59">
        <v>2664.6629109560004</v>
      </c>
    </row>
    <row r="139" spans="2:6" x14ac:dyDescent="0.25">
      <c r="B139" s="22">
        <v>36</v>
      </c>
      <c r="C139" s="97" t="s">
        <v>78</v>
      </c>
      <c r="D139" s="60">
        <v>1527.5430469396665</v>
      </c>
      <c r="E139" s="60">
        <v>71.173633333333342</v>
      </c>
      <c r="F139" s="60">
        <v>1975.2116776159999</v>
      </c>
    </row>
    <row r="140" spans="2:6" x14ac:dyDescent="0.25">
      <c r="B140" s="24">
        <v>37</v>
      </c>
      <c r="C140" s="93" t="s">
        <v>120</v>
      </c>
      <c r="D140" s="59">
        <v>1498.3980801388668</v>
      </c>
      <c r="E140" s="59">
        <v>4.0100066666666665</v>
      </c>
      <c r="F140" s="59">
        <v>1523.6202601709335</v>
      </c>
    </row>
    <row r="141" spans="2:6" x14ac:dyDescent="0.25">
      <c r="B141" s="22">
        <v>38</v>
      </c>
      <c r="C141" s="97" t="s">
        <v>79</v>
      </c>
      <c r="D141" s="60">
        <v>44.624734327666665</v>
      </c>
      <c r="E141" s="60">
        <v>205.42753333333334</v>
      </c>
      <c r="F141" s="60">
        <v>1336.724887763</v>
      </c>
    </row>
    <row r="142" spans="2:6" x14ac:dyDescent="0.25">
      <c r="B142" s="24">
        <v>39</v>
      </c>
      <c r="C142" s="93" t="s">
        <v>121</v>
      </c>
      <c r="D142" s="59">
        <v>702.32376979169999</v>
      </c>
      <c r="E142" s="59">
        <v>33.298040000000007</v>
      </c>
      <c r="F142" s="59">
        <v>911.76211476410003</v>
      </c>
    </row>
    <row r="143" spans="2:6" x14ac:dyDescent="0.25">
      <c r="B143" s="22">
        <v>40</v>
      </c>
      <c r="C143" s="97" t="s">
        <v>80</v>
      </c>
      <c r="D143" s="60">
        <v>723.70805452400009</v>
      </c>
      <c r="E143" s="60">
        <v>0.9288333333333334</v>
      </c>
      <c r="F143" s="60">
        <v>729.55023971233345</v>
      </c>
    </row>
    <row r="144" spans="2:6" x14ac:dyDescent="0.25">
      <c r="B144" s="24">
        <v>41</v>
      </c>
      <c r="C144" s="93" t="s">
        <v>81</v>
      </c>
      <c r="D144" s="59">
        <v>592.72485787733342</v>
      </c>
      <c r="E144" s="59">
        <v>0.29750000000000004</v>
      </c>
      <c r="F144" s="59">
        <v>594.5960763523334</v>
      </c>
    </row>
    <row r="145" spans="2:7" x14ac:dyDescent="0.25">
      <c r="B145" s="22">
        <v>42</v>
      </c>
      <c r="C145" s="97" t="s">
        <v>83</v>
      </c>
      <c r="D145" s="60">
        <v>6.091680985</v>
      </c>
      <c r="E145" s="60">
        <v>88.817399999999992</v>
      </c>
      <c r="F145" s="60">
        <v>564.73625167900002</v>
      </c>
    </row>
    <row r="146" spans="2:7" x14ac:dyDescent="0.25">
      <c r="B146" s="24">
        <v>43</v>
      </c>
      <c r="C146" s="93" t="s">
        <v>82</v>
      </c>
      <c r="D146" s="59">
        <v>365.93632361233335</v>
      </c>
      <c r="E146" s="59">
        <v>9.3930333333333333</v>
      </c>
      <c r="F146" s="59">
        <v>425.01671860266669</v>
      </c>
    </row>
    <row r="147" spans="2:7" x14ac:dyDescent="0.25">
      <c r="B147" s="22">
        <v>44</v>
      </c>
      <c r="C147" s="97" t="s">
        <v>84</v>
      </c>
      <c r="D147" s="60">
        <v>342.34471392466668</v>
      </c>
      <c r="E147" s="60">
        <v>7.226533333333335</v>
      </c>
      <c r="F147" s="60">
        <v>387.79823555000002</v>
      </c>
    </row>
    <row r="148" spans="2:7" x14ac:dyDescent="0.25">
      <c r="B148" s="24">
        <v>45</v>
      </c>
      <c r="C148" s="93" t="s">
        <v>85</v>
      </c>
      <c r="D148" s="59">
        <v>4.7511128136666665</v>
      </c>
      <c r="E148" s="59">
        <v>51.750866666666667</v>
      </c>
      <c r="F148" s="59">
        <v>330.25423148233335</v>
      </c>
    </row>
    <row r="149" spans="2:7" x14ac:dyDescent="0.25">
      <c r="B149" s="22">
        <v>46</v>
      </c>
      <c r="C149" s="97" t="s">
        <v>122</v>
      </c>
      <c r="D149" s="60">
        <v>74.135547927116662</v>
      </c>
      <c r="E149" s="60">
        <v>39.378115000000001</v>
      </c>
      <c r="F149" s="60">
        <v>321.81640943526668</v>
      </c>
    </row>
    <row r="150" spans="2:7" s="10" customFormat="1" x14ac:dyDescent="0.25">
      <c r="B150" s="24">
        <v>47</v>
      </c>
      <c r="C150" s="93" t="s">
        <v>88</v>
      </c>
      <c r="D150" s="59">
        <v>177.2673925126667</v>
      </c>
      <c r="E150" s="59">
        <v>2.7455333333333334</v>
      </c>
      <c r="F150" s="59">
        <v>194.53627552800003</v>
      </c>
      <c r="G150" s="9"/>
    </row>
    <row r="151" spans="2:7" s="10" customFormat="1" x14ac:dyDescent="0.25">
      <c r="B151" s="22">
        <v>48</v>
      </c>
      <c r="C151" s="97" t="s">
        <v>89</v>
      </c>
      <c r="D151" s="60">
        <v>134.329585227</v>
      </c>
      <c r="E151" s="60">
        <v>5.8933666666666671</v>
      </c>
      <c r="F151" s="60">
        <v>171.39774182066668</v>
      </c>
      <c r="G151" s="9"/>
    </row>
    <row r="152" spans="2:7" s="10" customFormat="1" x14ac:dyDescent="0.25">
      <c r="B152" s="24">
        <v>49</v>
      </c>
      <c r="C152" s="93" t="s">
        <v>91</v>
      </c>
      <c r="D152" s="59">
        <v>0</v>
      </c>
      <c r="E152" s="59">
        <v>26.555333333333333</v>
      </c>
      <c r="F152" s="59">
        <v>167.02800115333335</v>
      </c>
    </row>
    <row r="153" spans="2:7" s="10" customFormat="1" x14ac:dyDescent="0.25">
      <c r="B153" s="22">
        <v>50</v>
      </c>
      <c r="C153" s="97" t="s">
        <v>86</v>
      </c>
      <c r="D153" s="60">
        <v>155.86987821333332</v>
      </c>
      <c r="E153" s="60">
        <v>0.21010000000000004</v>
      </c>
      <c r="F153" s="60">
        <v>157.19136729433333</v>
      </c>
      <c r="G153" s="8"/>
    </row>
    <row r="154" spans="2:7" s="10" customFormat="1" x14ac:dyDescent="0.25">
      <c r="B154" s="24">
        <v>51</v>
      </c>
      <c r="C154" s="93" t="s">
        <v>90</v>
      </c>
      <c r="D154" s="59">
        <v>0</v>
      </c>
      <c r="E154" s="59">
        <v>24.632300000000001</v>
      </c>
      <c r="F154" s="59">
        <v>154.93248686300001</v>
      </c>
      <c r="G154" s="8"/>
    </row>
    <row r="155" spans="2:7" s="10" customFormat="1" x14ac:dyDescent="0.25">
      <c r="B155" s="22">
        <v>52</v>
      </c>
      <c r="C155" s="97" t="s">
        <v>92</v>
      </c>
      <c r="D155" s="60">
        <v>128.10375307771668</v>
      </c>
      <c r="E155" s="60">
        <v>0.16428500000000001</v>
      </c>
      <c r="F155" s="60">
        <v>129.13707451356669</v>
      </c>
    </row>
    <row r="156" spans="2:7" s="10" customFormat="1" x14ac:dyDescent="0.25">
      <c r="B156" s="24">
        <v>53</v>
      </c>
      <c r="C156" s="93" t="s">
        <v>87</v>
      </c>
      <c r="D156" s="59">
        <v>62.444017650066669</v>
      </c>
      <c r="E156" s="59">
        <v>5.8992899999999997</v>
      </c>
      <c r="F156" s="59">
        <v>99.549430884966668</v>
      </c>
    </row>
    <row r="157" spans="2:7" s="10" customFormat="1" x14ac:dyDescent="0.25">
      <c r="B157" s="22">
        <v>54</v>
      </c>
      <c r="C157" s="97" t="s">
        <v>94</v>
      </c>
      <c r="D157" s="60">
        <v>88.059646263666693</v>
      </c>
      <c r="E157" s="60">
        <v>1.4200000000000002</v>
      </c>
      <c r="F157" s="60">
        <v>96.99117646366669</v>
      </c>
    </row>
    <row r="158" spans="2:7" s="10" customFormat="1" x14ac:dyDescent="0.25">
      <c r="B158" s="24">
        <v>55</v>
      </c>
      <c r="C158" s="93" t="s">
        <v>124</v>
      </c>
      <c r="D158" s="59">
        <v>90.481181181600007</v>
      </c>
      <c r="E158" s="59">
        <v>0.47630000000000006</v>
      </c>
      <c r="F158" s="59">
        <v>93.477017684600014</v>
      </c>
    </row>
    <row r="159" spans="2:7" s="10" customFormat="1" x14ac:dyDescent="0.25">
      <c r="B159" s="22">
        <v>56</v>
      </c>
      <c r="C159" s="97" t="s">
        <v>95</v>
      </c>
      <c r="D159" s="60">
        <v>72.016437557000003</v>
      </c>
      <c r="E159" s="60">
        <v>0.74253333333333349</v>
      </c>
      <c r="F159" s="60">
        <v>76.686831142333332</v>
      </c>
    </row>
    <row r="160" spans="2:7" s="10" customFormat="1" x14ac:dyDescent="0.25">
      <c r="B160" s="24">
        <v>57</v>
      </c>
      <c r="C160" s="93" t="s">
        <v>96</v>
      </c>
      <c r="D160" s="59">
        <v>50.848920643333344</v>
      </c>
      <c r="E160" s="59">
        <v>3.5614333333333339</v>
      </c>
      <c r="F160" s="59">
        <v>73.249659637666682</v>
      </c>
    </row>
    <row r="161" spans="2:16" s="10" customFormat="1" x14ac:dyDescent="0.25">
      <c r="B161" s="22">
        <v>58</v>
      </c>
      <c r="C161" s="97" t="s">
        <v>123</v>
      </c>
      <c r="D161" s="60">
        <v>62.355708717666666</v>
      </c>
      <c r="E161" s="60">
        <v>1.61785</v>
      </c>
      <c r="F161" s="60">
        <v>72.531677826166671</v>
      </c>
    </row>
    <row r="162" spans="2:16" s="10" customFormat="1" x14ac:dyDescent="0.25">
      <c r="B162" s="24">
        <v>59</v>
      </c>
      <c r="C162" s="93" t="s">
        <v>93</v>
      </c>
      <c r="D162" s="59">
        <v>61.369089121066665</v>
      </c>
      <c r="E162" s="59">
        <v>0.31753333333333333</v>
      </c>
      <c r="F162" s="59">
        <v>63.3663134564</v>
      </c>
    </row>
    <row r="163" spans="2:16" s="10" customFormat="1" x14ac:dyDescent="0.25">
      <c r="B163" s="22">
        <v>60</v>
      </c>
      <c r="C163" s="97" t="s">
        <v>125</v>
      </c>
      <c r="D163" s="60">
        <v>0.20605417560000003</v>
      </c>
      <c r="E163" s="60">
        <v>9.9900266666666671</v>
      </c>
      <c r="F163" s="60">
        <v>63.041423803866671</v>
      </c>
    </row>
    <row r="164" spans="2:16" s="10" customFormat="1" x14ac:dyDescent="0.25">
      <c r="B164" s="24">
        <v>61</v>
      </c>
      <c r="C164" s="93" t="s">
        <v>127</v>
      </c>
      <c r="D164" s="59">
        <v>50.092015390949996</v>
      </c>
      <c r="E164" s="59">
        <v>9.0914999999999996E-2</v>
      </c>
      <c r="F164" s="59">
        <v>50.663853467099997</v>
      </c>
    </row>
    <row r="165" spans="2:16" s="10" customFormat="1" x14ac:dyDescent="0.25">
      <c r="B165" s="22">
        <v>62</v>
      </c>
      <c r="C165" s="97" t="s">
        <v>98</v>
      </c>
      <c r="D165" s="60">
        <v>29.678049164333338</v>
      </c>
      <c r="E165" s="60">
        <v>0.76673333333333327</v>
      </c>
      <c r="F165" s="60">
        <v>34.500656151666668</v>
      </c>
    </row>
    <row r="166" spans="2:16" s="10" customFormat="1" x14ac:dyDescent="0.25">
      <c r="B166" s="24">
        <v>63</v>
      </c>
      <c r="C166" s="93" t="s">
        <v>100</v>
      </c>
      <c r="D166" s="59">
        <v>29.574057639000003</v>
      </c>
      <c r="E166" s="59">
        <v>8.3133333333333351E-2</v>
      </c>
      <c r="F166" s="59">
        <v>30.096950510333336</v>
      </c>
    </row>
    <row r="167" spans="2:16" s="10" customFormat="1" x14ac:dyDescent="0.25">
      <c r="B167" s="22">
        <v>64</v>
      </c>
      <c r="C167" s="97" t="s">
        <v>126</v>
      </c>
      <c r="D167" s="60">
        <v>21.177790270000003</v>
      </c>
      <c r="E167" s="60">
        <v>9.4166666666666676E-2</v>
      </c>
      <c r="F167" s="60">
        <v>21.770080711666669</v>
      </c>
    </row>
    <row r="168" spans="2:16" s="10" customFormat="1" x14ac:dyDescent="0.25">
      <c r="B168" s="24">
        <v>65</v>
      </c>
      <c r="C168" s="93" t="s">
        <v>97</v>
      </c>
      <c r="D168" s="59">
        <v>21.177790270000003</v>
      </c>
      <c r="E168" s="59">
        <v>9.4166666666666676E-2</v>
      </c>
      <c r="F168" s="59">
        <v>21.770080711666669</v>
      </c>
    </row>
    <row r="169" spans="2:16" s="10" customFormat="1" x14ac:dyDescent="0.25">
      <c r="B169" s="22">
        <v>66</v>
      </c>
      <c r="C169" s="97" t="s">
        <v>101</v>
      </c>
      <c r="D169" s="60">
        <v>13.489965167333335</v>
      </c>
      <c r="E169" s="60">
        <v>3.2199999999999999E-2</v>
      </c>
      <c r="F169" s="60">
        <v>13.692497049333335</v>
      </c>
    </row>
    <row r="170" spans="2:16" s="10" customFormat="1" x14ac:dyDescent="0.25">
      <c r="B170" s="24">
        <v>67</v>
      </c>
      <c r="C170" s="93" t="s">
        <v>99</v>
      </c>
      <c r="D170" s="59">
        <v>13.577708016833334</v>
      </c>
      <c r="E170" s="59">
        <v>1.0583333333333333E-2</v>
      </c>
      <c r="F170" s="59">
        <v>13.644275172666667</v>
      </c>
    </row>
    <row r="171" spans="2:16" s="10" customFormat="1" x14ac:dyDescent="0.25">
      <c r="B171" s="22">
        <v>68</v>
      </c>
      <c r="C171" s="97" t="s">
        <v>102</v>
      </c>
      <c r="D171" s="60">
        <v>8.210298653333334</v>
      </c>
      <c r="E171" s="60">
        <v>1.8333333333333333E-2</v>
      </c>
      <c r="F171" s="60">
        <v>8.3256118366666669</v>
      </c>
    </row>
    <row r="172" spans="2:16" s="10" customFormat="1" x14ac:dyDescent="0.25">
      <c r="B172" s="24">
        <v>69</v>
      </c>
      <c r="C172" s="93" t="s">
        <v>128</v>
      </c>
      <c r="D172" s="59">
        <v>6.7888540084166671</v>
      </c>
      <c r="E172" s="59">
        <v>5.2916666666666667E-3</v>
      </c>
      <c r="F172" s="59">
        <v>6.8221375863333336</v>
      </c>
    </row>
    <row r="173" spans="2:16" s="10" customFormat="1" x14ac:dyDescent="0.25">
      <c r="B173" s="22">
        <v>70</v>
      </c>
      <c r="C173" s="97" t="s">
        <v>129</v>
      </c>
      <c r="D173" s="60">
        <v>6.7888540084166671</v>
      </c>
      <c r="E173" s="60">
        <v>5.2916666666666667E-3</v>
      </c>
      <c r="F173" s="60">
        <v>6.8221375863333336</v>
      </c>
      <c r="M173" s="53"/>
      <c r="N173" s="53"/>
      <c r="O173" s="53"/>
      <c r="P173" s="53"/>
    </row>
    <row r="174" spans="2:16" s="10" customFormat="1" x14ac:dyDescent="0.25">
      <c r="B174" s="24">
        <v>71</v>
      </c>
      <c r="C174" s="93" t="s">
        <v>103</v>
      </c>
      <c r="D174" s="59">
        <v>5.3673045333333338</v>
      </c>
      <c r="E174" s="59">
        <v>6.0166666666666667E-2</v>
      </c>
      <c r="F174" s="59">
        <v>5.7457414350000002</v>
      </c>
      <c r="G174"/>
    </row>
    <row r="175" spans="2:16" s="10" customFormat="1" x14ac:dyDescent="0.25">
      <c r="B175" s="22">
        <v>72</v>
      </c>
      <c r="C175" s="97" t="s">
        <v>130</v>
      </c>
      <c r="D175" s="60">
        <v>4.3974158313333334</v>
      </c>
      <c r="E175" s="60">
        <v>0.13752</v>
      </c>
      <c r="F175" s="60">
        <v>5.2623905025333331</v>
      </c>
      <c r="G175"/>
    </row>
    <row r="176" spans="2:16" s="10" customFormat="1" x14ac:dyDescent="0.25">
      <c r="B176" s="24">
        <v>73</v>
      </c>
      <c r="C176" s="93" t="s">
        <v>104</v>
      </c>
      <c r="D176" s="59">
        <v>4.4028670000000005</v>
      </c>
      <c r="E176" s="59">
        <v>6.5000000000000006E-3</v>
      </c>
      <c r="F176" s="59">
        <v>4.4437507650000008</v>
      </c>
      <c r="G176"/>
    </row>
    <row r="177" spans="2:11" s="10" customFormat="1" x14ac:dyDescent="0.25">
      <c r="B177" s="22">
        <v>74</v>
      </c>
      <c r="C177" s="97" t="s">
        <v>105</v>
      </c>
      <c r="D177" s="60">
        <v>3.9835463333333334</v>
      </c>
      <c r="E177" s="60">
        <v>0.05</v>
      </c>
      <c r="F177" s="60">
        <v>4.2980368333333336</v>
      </c>
      <c r="G177"/>
    </row>
    <row r="178" spans="2:11" s="10" customFormat="1" x14ac:dyDescent="0.25">
      <c r="B178" s="24">
        <v>75</v>
      </c>
      <c r="C178" s="93" t="s">
        <v>327</v>
      </c>
      <c r="D178" s="59">
        <v>2.5997881333333335</v>
      </c>
      <c r="E178" s="59">
        <v>1.66E-2</v>
      </c>
      <c r="F178" s="59">
        <v>2.7041989793333334</v>
      </c>
      <c r="G178"/>
    </row>
    <row r="179" spans="2:11" s="10" customFormat="1" x14ac:dyDescent="0.25">
      <c r="B179" s="22">
        <v>76</v>
      </c>
      <c r="C179" s="97" t="s">
        <v>326</v>
      </c>
      <c r="D179" s="60">
        <v>2.5997881333333335</v>
      </c>
      <c r="E179" s="60">
        <v>1.66E-2</v>
      </c>
      <c r="F179" s="60">
        <v>2.7041989793333334</v>
      </c>
      <c r="G179"/>
      <c r="H179"/>
      <c r="I179"/>
      <c r="J179"/>
      <c r="K179"/>
    </row>
    <row r="180" spans="2:11" s="10" customFormat="1" ht="15.75" customHeight="1" x14ac:dyDescent="0.25">
      <c r="B180" s="24">
        <v>77</v>
      </c>
      <c r="C180" s="93" t="s">
        <v>106</v>
      </c>
      <c r="D180" s="59">
        <v>1.1740978666666666</v>
      </c>
      <c r="E180" s="59">
        <v>3.2666666666666669E-3</v>
      </c>
      <c r="F180" s="59">
        <v>1.1946445793333333</v>
      </c>
      <c r="G180"/>
      <c r="H180" s="53"/>
      <c r="I180" s="53"/>
      <c r="J180" s="53"/>
      <c r="K180" s="53"/>
    </row>
    <row r="181" spans="2:11" s="10" customFormat="1" ht="15.75" customHeight="1" x14ac:dyDescent="0.25">
      <c r="B181" s="52" t="s">
        <v>22</v>
      </c>
      <c r="C181" s="91"/>
      <c r="D181" s="92">
        <f>SUM(D104:D180)</f>
        <v>3395153.70055159</v>
      </c>
      <c r="E181" s="92">
        <f>SUM(E104:E180)</f>
        <v>149278.4775999999</v>
      </c>
      <c r="F181" s="92">
        <f>SUM(F104:F180)</f>
        <v>4334086.9617448505</v>
      </c>
      <c r="G181"/>
      <c r="H181" s="53"/>
      <c r="I181" s="53"/>
      <c r="J181" s="53"/>
      <c r="K181" s="53"/>
    </row>
    <row r="182" spans="2:11" s="10" customFormat="1" ht="15.75" customHeight="1" x14ac:dyDescent="0.25">
      <c r="C182" s="62"/>
      <c r="D182" s="62"/>
      <c r="E182" s="98"/>
      <c r="F182" s="98"/>
      <c r="G182"/>
      <c r="H182" s="53"/>
      <c r="I182" s="53"/>
      <c r="J182" s="53"/>
      <c r="K182" s="53"/>
    </row>
    <row r="183" spans="2:11" s="10" customFormat="1" ht="26.25" x14ac:dyDescent="0.4">
      <c r="B183" s="2" t="s">
        <v>131</v>
      </c>
      <c r="C183"/>
      <c r="D183"/>
      <c r="E183"/>
      <c r="F183"/>
    </row>
    <row r="184" spans="2:11" s="10" customFormat="1" x14ac:dyDescent="0.25">
      <c r="B184"/>
      <c r="C184"/>
      <c r="D184"/>
      <c r="E184"/>
      <c r="F184"/>
    </row>
    <row r="185" spans="2:11" s="10" customFormat="1" ht="24" x14ac:dyDescent="0.25">
      <c r="B185" s="61" t="s">
        <v>42</v>
      </c>
      <c r="C185" s="48" t="s">
        <v>12</v>
      </c>
      <c r="D185" s="48" t="s">
        <v>13</v>
      </c>
      <c r="E185" s="48" t="s">
        <v>15</v>
      </c>
      <c r="F185" s="48" t="s">
        <v>14</v>
      </c>
      <c r="G185" s="48" t="s">
        <v>18</v>
      </c>
      <c r="H185" s="48" t="s">
        <v>16</v>
      </c>
      <c r="I185" s="48" t="s">
        <v>19</v>
      </c>
    </row>
    <row r="186" spans="2:11" s="10" customFormat="1" x14ac:dyDescent="0.25">
      <c r="B186" s="51" t="s">
        <v>43</v>
      </c>
      <c r="C186" s="39">
        <v>10112.99483333333</v>
      </c>
      <c r="D186" s="39">
        <v>1805.5943999999995</v>
      </c>
      <c r="E186" s="39">
        <v>30132.654766666677</v>
      </c>
      <c r="F186" s="39">
        <v>77018.150466666659</v>
      </c>
      <c r="G186" s="39">
        <v>56358.778070339991</v>
      </c>
      <c r="H186" s="39">
        <v>118805.8052</v>
      </c>
      <c r="I186" s="39">
        <v>93921.376501539969</v>
      </c>
    </row>
    <row r="187" spans="2:11" s="10" customFormat="1" x14ac:dyDescent="0.25">
      <c r="B187" s="49" t="s">
        <v>47</v>
      </c>
      <c r="C187" s="31">
        <v>412.36903333333333</v>
      </c>
      <c r="D187" s="31">
        <v>75.194900000000004</v>
      </c>
      <c r="E187" s="31">
        <v>5822.8701333333338</v>
      </c>
      <c r="F187" s="31">
        <v>6893.5300666666672</v>
      </c>
      <c r="G187" s="31">
        <v>6893.5300666666672</v>
      </c>
      <c r="H187" s="31">
        <v>13203.964133333333</v>
      </c>
      <c r="I187" s="31">
        <v>13185.175767793333</v>
      </c>
    </row>
    <row r="188" spans="2:11" s="10" customFormat="1" x14ac:dyDescent="0.25">
      <c r="B188" s="51" t="s">
        <v>44</v>
      </c>
      <c r="C188" s="39">
        <v>4816.231233333333</v>
      </c>
      <c r="D188" s="39">
        <v>851.60699999999986</v>
      </c>
      <c r="E188" s="39">
        <v>5146.6154333333334</v>
      </c>
      <c r="F188" s="39">
        <v>0</v>
      </c>
      <c r="G188" s="39">
        <v>0</v>
      </c>
      <c r="H188" s="39">
        <v>10715.625233333332</v>
      </c>
      <c r="I188" s="39">
        <v>10505.109014196667</v>
      </c>
    </row>
    <row r="189" spans="2:11" s="7" customFormat="1" x14ac:dyDescent="0.25">
      <c r="B189" s="49" t="s">
        <v>46</v>
      </c>
      <c r="C189" s="31">
        <v>114.96983333333331</v>
      </c>
      <c r="D189" s="31">
        <v>88.479400000000012</v>
      </c>
      <c r="E189" s="31">
        <v>2086.2896333333333</v>
      </c>
      <c r="F189" s="31">
        <v>320.72999999999996</v>
      </c>
      <c r="G189" s="31">
        <v>319.93639951666665</v>
      </c>
      <c r="H189" s="31">
        <v>2595.9049666666665</v>
      </c>
      <c r="I189" s="31">
        <v>2575.5096372166663</v>
      </c>
    </row>
    <row r="190" spans="2:11" s="10" customFormat="1" x14ac:dyDescent="0.25">
      <c r="B190" s="51" t="s">
        <v>50</v>
      </c>
      <c r="C190" s="39">
        <v>8.6448666666666671</v>
      </c>
      <c r="D190" s="39">
        <v>6.7255333333333338</v>
      </c>
      <c r="E190" s="39">
        <v>1391.9554666666668</v>
      </c>
      <c r="F190" s="39">
        <v>0</v>
      </c>
      <c r="G190" s="39">
        <v>0</v>
      </c>
      <c r="H190" s="39">
        <v>1407.3258666666666</v>
      </c>
      <c r="I190" s="39">
        <v>1407.3258666666666</v>
      </c>
    </row>
    <row r="191" spans="2:11" x14ac:dyDescent="0.25">
      <c r="B191" s="49" t="s">
        <v>45</v>
      </c>
      <c r="C191" s="31">
        <v>293.25109999999984</v>
      </c>
      <c r="D191" s="31">
        <v>88.031333333333336</v>
      </c>
      <c r="E191" s="31">
        <v>968.33493333333342</v>
      </c>
      <c r="F191" s="31">
        <v>0</v>
      </c>
      <c r="G191" s="31">
        <v>0</v>
      </c>
      <c r="H191" s="31">
        <v>1142.0607666666665</v>
      </c>
      <c r="I191" s="31">
        <v>1138.1399187233328</v>
      </c>
    </row>
    <row r="192" spans="2:11" s="11" customFormat="1" x14ac:dyDescent="0.25">
      <c r="B192" s="51" t="s">
        <v>32</v>
      </c>
      <c r="C192" s="39">
        <v>318.58966666666669</v>
      </c>
      <c r="D192" s="39">
        <v>64.393666666666661</v>
      </c>
      <c r="E192" s="39">
        <v>472.00076666666666</v>
      </c>
      <c r="F192" s="39">
        <v>0</v>
      </c>
      <c r="G192" s="39">
        <v>0</v>
      </c>
      <c r="H192" s="39">
        <v>692.61733333333336</v>
      </c>
      <c r="I192" s="39">
        <v>685.06027792666669</v>
      </c>
    </row>
    <row r="193" spans="2:24" s="11" customFormat="1" x14ac:dyDescent="0.25">
      <c r="B193" s="49" t="s">
        <v>37</v>
      </c>
      <c r="C193" s="31">
        <v>10.681800000000001</v>
      </c>
      <c r="D193" s="31">
        <v>16.218399999999999</v>
      </c>
      <c r="E193" s="31">
        <v>666.28756666666663</v>
      </c>
      <c r="F193" s="31">
        <v>0</v>
      </c>
      <c r="G193" s="31">
        <v>0</v>
      </c>
      <c r="H193" s="31">
        <v>683.2903</v>
      </c>
      <c r="I193" s="31">
        <v>680.13610774333335</v>
      </c>
    </row>
    <row r="194" spans="2:24" s="11" customFormat="1" x14ac:dyDescent="0.25">
      <c r="B194" s="51" t="s">
        <v>35</v>
      </c>
      <c r="C194" s="39">
        <v>1.9865666666666668</v>
      </c>
      <c r="D194" s="39">
        <v>4.0980666666666661</v>
      </c>
      <c r="E194" s="39">
        <v>632.40699999999993</v>
      </c>
      <c r="F194" s="39">
        <v>0</v>
      </c>
      <c r="G194" s="39">
        <v>0</v>
      </c>
      <c r="H194" s="39">
        <v>638.49163333333331</v>
      </c>
      <c r="I194" s="39">
        <v>638.49163333333331</v>
      </c>
    </row>
    <row r="195" spans="2:24" s="11" customFormat="1" x14ac:dyDescent="0.25">
      <c r="B195" s="49" t="s">
        <v>49</v>
      </c>
      <c r="C195" s="31">
        <v>2.2445333333333335</v>
      </c>
      <c r="D195" s="31">
        <v>2.8999999999999998E-3</v>
      </c>
      <c r="E195" s="31">
        <v>88.407200000000017</v>
      </c>
      <c r="F195" s="31">
        <v>0</v>
      </c>
      <c r="G195" s="31">
        <v>0</v>
      </c>
      <c r="H195" s="31">
        <v>90.654633333333337</v>
      </c>
      <c r="I195" s="31">
        <v>90.559916496666659</v>
      </c>
    </row>
    <row r="196" spans="2:24" x14ac:dyDescent="0.25">
      <c r="B196" s="51" t="s">
        <v>36</v>
      </c>
      <c r="C196" s="39">
        <v>7.1240666666666668</v>
      </c>
      <c r="D196" s="39">
        <v>46.622433333333333</v>
      </c>
      <c r="E196" s="39">
        <v>1.5363666666666667</v>
      </c>
      <c r="F196" s="39">
        <v>12.685933333333333</v>
      </c>
      <c r="G196" s="39">
        <v>12.685933333333333</v>
      </c>
      <c r="H196" s="39">
        <v>67.968800000000002</v>
      </c>
      <c r="I196" s="39">
        <v>67.928916670000021</v>
      </c>
    </row>
    <row r="197" spans="2:24" x14ac:dyDescent="0.25">
      <c r="B197" s="49" t="s">
        <v>40</v>
      </c>
      <c r="C197" s="31"/>
      <c r="D197" s="31"/>
      <c r="E197" s="31">
        <v>26.555333333333333</v>
      </c>
      <c r="F197" s="31">
        <v>0</v>
      </c>
      <c r="G197" s="31">
        <v>0</v>
      </c>
      <c r="H197" s="31">
        <v>26.555333333333333</v>
      </c>
      <c r="I197" s="31">
        <v>26.544711200000002</v>
      </c>
    </row>
    <row r="198" spans="2:24" x14ac:dyDescent="0.25">
      <c r="B198" s="51" t="s">
        <v>48</v>
      </c>
      <c r="C198" s="39"/>
      <c r="D198" s="39">
        <v>3.5136333333333334</v>
      </c>
      <c r="E198" s="39"/>
      <c r="F198" s="39">
        <v>0</v>
      </c>
      <c r="G198" s="39">
        <v>0</v>
      </c>
      <c r="H198" s="39">
        <v>3.5136333333333334</v>
      </c>
      <c r="I198" s="39">
        <v>3.5136333333333334</v>
      </c>
    </row>
    <row r="199" spans="2:24" x14ac:dyDescent="0.25">
      <c r="B199" s="49" t="s">
        <v>132</v>
      </c>
      <c r="C199" s="31"/>
      <c r="D199" s="31"/>
      <c r="E199" s="31"/>
      <c r="F199" s="31">
        <v>0</v>
      </c>
      <c r="G199" s="31">
        <v>0</v>
      </c>
      <c r="H199" s="31"/>
      <c r="I199" s="31">
        <v>0</v>
      </c>
    </row>
    <row r="200" spans="2:24" x14ac:dyDescent="0.25">
      <c r="B200" s="51" t="s">
        <v>38</v>
      </c>
      <c r="C200" s="39"/>
      <c r="D200" s="39"/>
      <c r="E200" s="39"/>
      <c r="F200" s="39">
        <v>0</v>
      </c>
      <c r="G200" s="39">
        <v>0</v>
      </c>
      <c r="H200" s="39"/>
      <c r="I200" s="39">
        <v>0</v>
      </c>
    </row>
    <row r="201" spans="2:24" s="11" customFormat="1" x14ac:dyDescent="0.25">
      <c r="B201" s="49" t="s">
        <v>133</v>
      </c>
      <c r="C201" s="31"/>
      <c r="D201" s="31"/>
      <c r="E201" s="31"/>
      <c r="F201" s="31">
        <v>0</v>
      </c>
      <c r="G201" s="31">
        <v>0</v>
      </c>
      <c r="H201" s="31"/>
      <c r="I201" s="31">
        <v>0</v>
      </c>
      <c r="S201"/>
    </row>
    <row r="202" spans="2:24" x14ac:dyDescent="0.25">
      <c r="B202" s="61" t="s">
        <v>22</v>
      </c>
      <c r="C202" s="25">
        <v>16099.08753333333</v>
      </c>
      <c r="D202" s="25">
        <v>3050.4816666666661</v>
      </c>
      <c r="E202" s="25">
        <v>47435.914600000004</v>
      </c>
      <c r="F202" s="25">
        <v>84245.096466666655</v>
      </c>
      <c r="G202" s="25">
        <v>63584.930469856656</v>
      </c>
      <c r="H202" s="25">
        <v>150073.77783333333</v>
      </c>
      <c r="I202" s="25">
        <v>124924.87190283999</v>
      </c>
    </row>
    <row r="203" spans="2:24" x14ac:dyDescent="0.25">
      <c r="B203" s="74"/>
      <c r="C203" s="75"/>
      <c r="D203" s="75"/>
      <c r="E203" s="75"/>
      <c r="F203" s="75"/>
      <c r="G203" s="75"/>
      <c r="H203" s="76"/>
      <c r="I203" s="75"/>
    </row>
    <row r="204" spans="2:24" ht="26.25" x14ac:dyDescent="0.4">
      <c r="B204" s="2" t="s">
        <v>134</v>
      </c>
    </row>
    <row r="205" spans="2:24" s="7" customFormat="1" x14ac:dyDescent="0.25">
      <c r="B205"/>
      <c r="C205"/>
      <c r="D205"/>
      <c r="E205"/>
      <c r="F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2:24" s="11" customFormat="1" ht="24" x14ac:dyDescent="0.25">
      <c r="B206" s="71" t="s">
        <v>135</v>
      </c>
      <c r="C206" s="25" t="s">
        <v>136</v>
      </c>
      <c r="D206" s="25" t="s">
        <v>137</v>
      </c>
      <c r="E206" s="25" t="s">
        <v>138</v>
      </c>
      <c r="F206" s="25" t="s">
        <v>139</v>
      </c>
      <c r="G206" s="25" t="s">
        <v>140</v>
      </c>
      <c r="H206" s="25" t="s">
        <v>141</v>
      </c>
      <c r="J206"/>
      <c r="K206"/>
      <c r="L206"/>
      <c r="M206"/>
      <c r="N206"/>
      <c r="O206"/>
      <c r="P206"/>
      <c r="Q206"/>
    </row>
    <row r="207" spans="2:24" x14ac:dyDescent="0.25">
      <c r="B207" s="72" t="s">
        <v>142</v>
      </c>
      <c r="C207" s="31">
        <v>787079.69104660291</v>
      </c>
      <c r="D207" s="31">
        <v>0</v>
      </c>
      <c r="E207" s="31">
        <v>39702.455633333338</v>
      </c>
      <c r="F207" s="31">
        <v>0</v>
      </c>
      <c r="G207" s="31">
        <v>1036800.5935136992</v>
      </c>
      <c r="H207" s="31">
        <v>0</v>
      </c>
    </row>
    <row r="208" spans="2:24" x14ac:dyDescent="0.25">
      <c r="B208" s="72" t="s">
        <v>143</v>
      </c>
      <c r="C208" s="31">
        <v>690300.24489274051</v>
      </c>
      <c r="D208" s="31">
        <v>0</v>
      </c>
      <c r="E208" s="31">
        <v>29338.169366666651</v>
      </c>
      <c r="F208" s="31">
        <v>0</v>
      </c>
      <c r="G208" s="31">
        <v>874831.75595689402</v>
      </c>
      <c r="H208" s="31">
        <v>0</v>
      </c>
    </row>
    <row r="209" spans="2:8" x14ac:dyDescent="0.25">
      <c r="B209" s="73" t="s">
        <v>144</v>
      </c>
      <c r="C209" s="39">
        <v>240863.18255846534</v>
      </c>
      <c r="D209" s="39">
        <v>0</v>
      </c>
      <c r="E209" s="39">
        <v>15825.226133333334</v>
      </c>
      <c r="F209" s="39">
        <v>0</v>
      </c>
      <c r="G209" s="39">
        <v>340400.8481441667</v>
      </c>
      <c r="H209" s="39">
        <v>0</v>
      </c>
    </row>
    <row r="210" spans="2:8" x14ac:dyDescent="0.25">
      <c r="B210" s="72" t="s">
        <v>145</v>
      </c>
      <c r="C210" s="31">
        <v>142329.54927936799</v>
      </c>
      <c r="D210" s="31">
        <v>0</v>
      </c>
      <c r="E210" s="31">
        <v>6805.1841666666651</v>
      </c>
      <c r="F210" s="31">
        <v>0</v>
      </c>
      <c r="G210" s="31">
        <v>185132.86470270966</v>
      </c>
      <c r="H210" s="31">
        <v>0</v>
      </c>
    </row>
    <row r="211" spans="2:8" x14ac:dyDescent="0.25">
      <c r="B211" s="73" t="s">
        <v>146</v>
      </c>
      <c r="C211" s="39">
        <v>139266.32584863136</v>
      </c>
      <c r="D211" s="39">
        <v>0</v>
      </c>
      <c r="E211" s="39">
        <v>5097.850966666666</v>
      </c>
      <c r="F211" s="39">
        <v>0</v>
      </c>
      <c r="G211" s="39">
        <v>171330.83983728103</v>
      </c>
      <c r="H211" s="39">
        <v>0</v>
      </c>
    </row>
    <row r="212" spans="2:8" x14ac:dyDescent="0.25">
      <c r="B212" s="72" t="s">
        <v>148</v>
      </c>
      <c r="C212" s="31">
        <v>126983.54231958369</v>
      </c>
      <c r="D212" s="31">
        <v>0</v>
      </c>
      <c r="E212" s="31">
        <v>4902.5142999999998</v>
      </c>
      <c r="F212" s="31">
        <v>0</v>
      </c>
      <c r="G212" s="31">
        <v>157819.42578886671</v>
      </c>
      <c r="H212" s="31">
        <v>0</v>
      </c>
    </row>
    <row r="213" spans="2:8" x14ac:dyDescent="0.25">
      <c r="B213" s="73" t="s">
        <v>147</v>
      </c>
      <c r="C213" s="39">
        <v>78193.099955249665</v>
      </c>
      <c r="D213" s="39">
        <v>0</v>
      </c>
      <c r="E213" s="39">
        <v>1020.8020333333333</v>
      </c>
      <c r="F213" s="39">
        <v>0</v>
      </c>
      <c r="G213" s="39">
        <v>84613.750792530001</v>
      </c>
      <c r="H213" s="39">
        <v>0</v>
      </c>
    </row>
    <row r="214" spans="2:8" x14ac:dyDescent="0.25">
      <c r="B214" s="72" t="s">
        <v>149</v>
      </c>
      <c r="C214" s="31">
        <v>73027.407104713348</v>
      </c>
      <c r="D214" s="31">
        <v>0</v>
      </c>
      <c r="E214" s="31">
        <v>953.36450000000013</v>
      </c>
      <c r="F214" s="31">
        <v>0</v>
      </c>
      <c r="G214" s="31">
        <v>79023.888670458342</v>
      </c>
      <c r="H214" s="31">
        <v>0</v>
      </c>
    </row>
    <row r="215" spans="2:8" x14ac:dyDescent="0.25">
      <c r="B215" s="73" t="s">
        <v>150</v>
      </c>
      <c r="C215" s="39">
        <v>67267.917403015337</v>
      </c>
      <c r="D215" s="39">
        <v>0</v>
      </c>
      <c r="E215" s="39">
        <v>1219.5666333333334</v>
      </c>
      <c r="F215" s="39">
        <v>0</v>
      </c>
      <c r="G215" s="39">
        <v>74938.759809021663</v>
      </c>
      <c r="H215" s="39">
        <v>0</v>
      </c>
    </row>
    <row r="216" spans="2:8" x14ac:dyDescent="0.25">
      <c r="B216" s="72" t="s">
        <v>153</v>
      </c>
      <c r="C216" s="31">
        <v>55883.860294608676</v>
      </c>
      <c r="D216" s="31">
        <v>0</v>
      </c>
      <c r="E216" s="31">
        <v>1897.2582666666665</v>
      </c>
      <c r="F216" s="31">
        <v>0</v>
      </c>
      <c r="G216" s="31">
        <v>67817.254312871344</v>
      </c>
      <c r="H216" s="31">
        <v>0</v>
      </c>
    </row>
    <row r="217" spans="2:8" x14ac:dyDescent="0.25">
      <c r="B217" s="73" t="s">
        <v>152</v>
      </c>
      <c r="C217" s="39">
        <v>53206.685274280004</v>
      </c>
      <c r="D217" s="39">
        <v>0</v>
      </c>
      <c r="E217" s="39">
        <v>1828.0085000000001</v>
      </c>
      <c r="F217" s="39">
        <v>0</v>
      </c>
      <c r="G217" s="39">
        <v>64704.511417665002</v>
      </c>
      <c r="H217" s="39">
        <v>0</v>
      </c>
    </row>
    <row r="218" spans="2:8" x14ac:dyDescent="0.25">
      <c r="B218" s="72" t="s">
        <v>154</v>
      </c>
      <c r="C218" s="31">
        <v>47195.55390240367</v>
      </c>
      <c r="D218" s="31">
        <v>0</v>
      </c>
      <c r="E218" s="31">
        <v>2196.3985666666663</v>
      </c>
      <c r="F218" s="31">
        <v>0</v>
      </c>
      <c r="G218" s="31">
        <v>61010.483571009332</v>
      </c>
      <c r="H218" s="31">
        <v>0</v>
      </c>
    </row>
    <row r="219" spans="2:8" x14ac:dyDescent="0.25">
      <c r="B219" s="73" t="s">
        <v>151</v>
      </c>
      <c r="C219" s="39">
        <v>47272.911227292003</v>
      </c>
      <c r="D219" s="39">
        <v>64829.789966302007</v>
      </c>
      <c r="E219" s="39">
        <v>1814.5759</v>
      </c>
      <c r="F219" s="39">
        <v>725.61773333333326</v>
      </c>
      <c r="G219" s="39">
        <v>58686.248868871</v>
      </c>
      <c r="H219" s="39">
        <v>69393.787641599338</v>
      </c>
    </row>
    <row r="220" spans="2:8" x14ac:dyDescent="0.25">
      <c r="B220" s="72" t="s">
        <v>155</v>
      </c>
      <c r="C220" s="31">
        <v>26369.622103274</v>
      </c>
      <c r="D220" s="31">
        <v>0</v>
      </c>
      <c r="E220" s="31">
        <v>1018.0646000000002</v>
      </c>
      <c r="F220" s="31">
        <v>0</v>
      </c>
      <c r="G220" s="31">
        <v>32773.055005000002</v>
      </c>
      <c r="H220" s="31">
        <v>0</v>
      </c>
    </row>
    <row r="221" spans="2:8" x14ac:dyDescent="0.25">
      <c r="B221" s="73" t="s">
        <v>157</v>
      </c>
      <c r="C221" s="39">
        <v>16738.425179852667</v>
      </c>
      <c r="D221" s="39">
        <v>0</v>
      </c>
      <c r="E221" s="39">
        <v>1345.7254</v>
      </c>
      <c r="F221" s="39">
        <v>0</v>
      </c>
      <c r="G221" s="39">
        <v>25202.782258026666</v>
      </c>
      <c r="H221" s="39">
        <v>0</v>
      </c>
    </row>
    <row r="222" spans="2:8" x14ac:dyDescent="0.25">
      <c r="B222" s="72" t="s">
        <v>156</v>
      </c>
      <c r="C222" s="31">
        <v>19118.650722309332</v>
      </c>
      <c r="D222" s="31">
        <v>0</v>
      </c>
      <c r="E222" s="31">
        <v>699.83916666666676</v>
      </c>
      <c r="F222" s="31">
        <v>0</v>
      </c>
      <c r="G222" s="31">
        <v>23520.506111201001</v>
      </c>
      <c r="H222" s="31">
        <v>0</v>
      </c>
    </row>
    <row r="223" spans="2:8" x14ac:dyDescent="0.25">
      <c r="B223" s="73" t="s">
        <v>158</v>
      </c>
      <c r="C223" s="39">
        <v>15286.908534005335</v>
      </c>
      <c r="D223" s="39">
        <v>20176.275564678668</v>
      </c>
      <c r="E223" s="39">
        <v>256.25503333333336</v>
      </c>
      <c r="F223" s="39">
        <v>358.53480000000008</v>
      </c>
      <c r="G223" s="39">
        <v>16898.70400521567</v>
      </c>
      <c r="H223" s="39">
        <v>22431.39133506667</v>
      </c>
    </row>
    <row r="224" spans="2:8" x14ac:dyDescent="0.25">
      <c r="B224" s="72" t="s">
        <v>159</v>
      </c>
      <c r="C224" s="31">
        <v>14110.992492928001</v>
      </c>
      <c r="D224" s="31">
        <v>3672.3059878206668</v>
      </c>
      <c r="E224" s="31">
        <v>236.54306666666668</v>
      </c>
      <c r="F224" s="31">
        <v>55.461633333333339</v>
      </c>
      <c r="G224" s="31">
        <v>15598.803439078667</v>
      </c>
      <c r="H224" s="31">
        <v>4021.1491237770001</v>
      </c>
    </row>
    <row r="225" spans="2:12" x14ac:dyDescent="0.25">
      <c r="B225" s="73" t="s">
        <v>160</v>
      </c>
      <c r="C225" s="39">
        <v>8735.970782045335</v>
      </c>
      <c r="D225" s="39">
        <v>0</v>
      </c>
      <c r="E225" s="39">
        <v>573.97199999999998</v>
      </c>
      <c r="F225" s="39">
        <v>0</v>
      </c>
      <c r="G225" s="39">
        <v>12346.145607365335</v>
      </c>
      <c r="H225" s="39">
        <v>0</v>
      </c>
    </row>
    <row r="226" spans="2:12" x14ac:dyDescent="0.25">
      <c r="B226" s="72" t="s">
        <v>161</v>
      </c>
      <c r="C226" s="31">
        <v>10175.530918403334</v>
      </c>
      <c r="D226" s="31">
        <v>38162.38414668967</v>
      </c>
      <c r="E226" s="31">
        <v>299.91746666666671</v>
      </c>
      <c r="F226" s="31">
        <v>628.85690000000011</v>
      </c>
      <c r="G226" s="31">
        <v>12061.954799418001</v>
      </c>
      <c r="H226" s="31">
        <v>42117.774564878673</v>
      </c>
    </row>
    <row r="227" spans="2:12" x14ac:dyDescent="0.25">
      <c r="B227" s="73" t="s">
        <v>162</v>
      </c>
      <c r="C227" s="39">
        <v>5288.8378956213337</v>
      </c>
      <c r="D227" s="39">
        <v>0</v>
      </c>
      <c r="E227" s="39">
        <v>155.88520000000003</v>
      </c>
      <c r="F227" s="39">
        <v>0</v>
      </c>
      <c r="G227" s="39">
        <v>6269.3261854333341</v>
      </c>
      <c r="H227" s="39">
        <v>0</v>
      </c>
    </row>
    <row r="228" spans="2:12" x14ac:dyDescent="0.25">
      <c r="B228" s="72" t="s">
        <v>163</v>
      </c>
      <c r="C228" s="31">
        <v>4455.4684713696661</v>
      </c>
      <c r="D228" s="31">
        <v>0</v>
      </c>
      <c r="E228" s="31">
        <v>189.36003333333335</v>
      </c>
      <c r="F228" s="31">
        <v>0</v>
      </c>
      <c r="G228" s="31">
        <v>5646.5071026299993</v>
      </c>
      <c r="H228" s="31">
        <v>0</v>
      </c>
    </row>
    <row r="229" spans="2:12" x14ac:dyDescent="0.25">
      <c r="B229" s="73" t="s">
        <v>165</v>
      </c>
      <c r="C229" s="39">
        <v>3535.6560916846674</v>
      </c>
      <c r="D229" s="39">
        <v>0</v>
      </c>
      <c r="E229" s="39">
        <v>164.54326666666663</v>
      </c>
      <c r="F229" s="39">
        <v>0</v>
      </c>
      <c r="G229" s="39">
        <v>4570.6019757973336</v>
      </c>
      <c r="H229" s="39">
        <v>0</v>
      </c>
    </row>
    <row r="230" spans="2:12" x14ac:dyDescent="0.25">
      <c r="B230" s="72" t="s">
        <v>164</v>
      </c>
      <c r="C230" s="31">
        <v>3211.6522540596666</v>
      </c>
      <c r="D230" s="31">
        <v>0</v>
      </c>
      <c r="E230" s="31">
        <v>153.55826666666664</v>
      </c>
      <c r="F230" s="31">
        <v>0</v>
      </c>
      <c r="G230" s="31">
        <v>4177.504575322333</v>
      </c>
      <c r="H230" s="31">
        <v>0</v>
      </c>
    </row>
    <row r="231" spans="2:12" x14ac:dyDescent="0.25">
      <c r="B231" s="73" t="s">
        <v>166</v>
      </c>
      <c r="C231" s="39">
        <v>2671.5053855946667</v>
      </c>
      <c r="D231" s="39">
        <v>77649.705867542012</v>
      </c>
      <c r="E231" s="39">
        <v>33.158033333333336</v>
      </c>
      <c r="F231" s="39">
        <v>1288.2520666666669</v>
      </c>
      <c r="G231" s="39">
        <v>2880.0631152350002</v>
      </c>
      <c r="H231" s="39">
        <v>85752.566598982681</v>
      </c>
    </row>
    <row r="232" spans="2:12" x14ac:dyDescent="0.25">
      <c r="B232" s="72" t="s">
        <v>167</v>
      </c>
      <c r="C232" s="31">
        <v>1868.1672881690004</v>
      </c>
      <c r="D232" s="31">
        <v>0</v>
      </c>
      <c r="E232" s="31">
        <v>89.322466666666685</v>
      </c>
      <c r="F232" s="31">
        <v>0</v>
      </c>
      <c r="G232" s="31">
        <v>2429.988632233667</v>
      </c>
      <c r="H232" s="31">
        <v>0</v>
      </c>
    </row>
    <row r="233" spans="2:12" s="11" customFormat="1" x14ac:dyDescent="0.25">
      <c r="B233" s="73" t="s">
        <v>168</v>
      </c>
      <c r="C233" s="39">
        <v>1470.8278301696669</v>
      </c>
      <c r="D233" s="39">
        <v>0</v>
      </c>
      <c r="E233" s="39">
        <v>56.784966666666683</v>
      </c>
      <c r="F233" s="39">
        <v>0</v>
      </c>
      <c r="G233" s="39">
        <v>1827.9944813593336</v>
      </c>
      <c r="H233" s="39">
        <v>0</v>
      </c>
      <c r="J233"/>
      <c r="K233"/>
      <c r="L233"/>
    </row>
    <row r="234" spans="2:12" s="11" customFormat="1" x14ac:dyDescent="0.25">
      <c r="B234" s="72" t="s">
        <v>169</v>
      </c>
      <c r="C234" s="31">
        <v>388.70858071733335</v>
      </c>
      <c r="D234" s="31">
        <v>0</v>
      </c>
      <c r="E234" s="31">
        <v>18.585300000000004</v>
      </c>
      <c r="F234" s="31">
        <v>0</v>
      </c>
      <c r="G234" s="31">
        <v>505.60658651033339</v>
      </c>
      <c r="H234" s="31">
        <v>0</v>
      </c>
      <c r="J234"/>
      <c r="K234"/>
      <c r="L234"/>
    </row>
    <row r="235" spans="2:12" x14ac:dyDescent="0.25">
      <c r="B235" s="73" t="s">
        <v>170</v>
      </c>
      <c r="C235" s="39">
        <v>368.10484043999998</v>
      </c>
      <c r="D235" s="39">
        <v>0</v>
      </c>
      <c r="E235" s="39">
        <v>10.8497</v>
      </c>
      <c r="F235" s="39">
        <v>0</v>
      </c>
      <c r="G235" s="39">
        <v>436.34739199699999</v>
      </c>
      <c r="H235" s="39">
        <v>0</v>
      </c>
    </row>
    <row r="236" spans="2:12" x14ac:dyDescent="0.25">
      <c r="B236" s="71" t="s">
        <v>22</v>
      </c>
      <c r="C236" s="25">
        <v>2682665.0004775985</v>
      </c>
      <c r="D236" s="25">
        <v>204490.46153303303</v>
      </c>
      <c r="E236" s="25">
        <v>117903.73893333333</v>
      </c>
      <c r="F236" s="25">
        <v>3056.7231333333339</v>
      </c>
      <c r="G236" s="25">
        <v>3424257.116657868</v>
      </c>
      <c r="H236" s="25">
        <v>223716.66926430436</v>
      </c>
    </row>
    <row r="238" spans="2:12" x14ac:dyDescent="0.25">
      <c r="H238" s="50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2:Q453"/>
  <sheetViews>
    <sheetView showGridLines="0" zoomScaleNormal="100" workbookViewId="0">
      <pane ySplit="2" topLeftCell="A308" activePane="bottomLeft" state="frozen"/>
      <selection pane="bottomLeft" activeCell="H269" sqref="H269"/>
    </sheetView>
  </sheetViews>
  <sheetFormatPr defaultRowHeight="15" x14ac:dyDescent="0.25"/>
  <cols>
    <col min="2" max="2" width="16.5703125" customWidth="1"/>
    <col min="3" max="3" width="25.85546875" customWidth="1"/>
    <col min="4" max="4" width="34" customWidth="1"/>
    <col min="5" max="5" width="17.28515625" bestFit="1" customWidth="1"/>
    <col min="6" max="6" width="27.5703125" customWidth="1"/>
    <col min="7" max="7" width="22.7109375" customWidth="1"/>
    <col min="8" max="8" width="50.28515625" customWidth="1"/>
    <col min="9" max="9" width="42.42578125" bestFit="1" customWidth="1"/>
    <col min="10" max="10" width="45" customWidth="1"/>
    <col min="11" max="11" width="80.5703125" bestFit="1" customWidth="1"/>
    <col min="12" max="12" width="82" bestFit="1" customWidth="1"/>
    <col min="13" max="13" width="19.5703125" bestFit="1" customWidth="1"/>
    <col min="14" max="14" width="19.42578125" customWidth="1"/>
    <col min="15" max="15" width="81.7109375" bestFit="1" customWidth="1"/>
  </cols>
  <sheetData>
    <row r="2" spans="2:7" ht="39" x14ac:dyDescent="0.6">
      <c r="B2" s="1" t="s">
        <v>171</v>
      </c>
    </row>
    <row r="6" spans="2:7" ht="26.25" x14ac:dyDescent="0.4">
      <c r="B6" s="2" t="s">
        <v>172</v>
      </c>
    </row>
    <row r="7" spans="2:7" ht="15.75" customHeight="1" x14ac:dyDescent="0.25"/>
    <row r="8" spans="2:7" ht="30" customHeight="1" x14ac:dyDescent="0.25">
      <c r="B8" s="48" t="s">
        <v>52</v>
      </c>
      <c r="C8" s="48" t="s">
        <v>173</v>
      </c>
      <c r="D8" s="48" t="s">
        <v>135</v>
      </c>
      <c r="E8" s="48" t="s">
        <v>42</v>
      </c>
      <c r="F8" s="48" t="s">
        <v>174</v>
      </c>
      <c r="G8" s="48" t="s">
        <v>26</v>
      </c>
    </row>
    <row r="9" spans="2:7" ht="19.5" customHeight="1" x14ac:dyDescent="0.25">
      <c r="B9" s="40">
        <v>1</v>
      </c>
      <c r="C9" s="38" t="s">
        <v>182</v>
      </c>
      <c r="D9" s="27" t="s">
        <v>183</v>
      </c>
      <c r="E9" s="38" t="s">
        <v>43</v>
      </c>
      <c r="F9" s="38" t="s">
        <v>177</v>
      </c>
      <c r="G9" s="39">
        <v>50460.316054141338</v>
      </c>
    </row>
    <row r="10" spans="2:7" ht="24.75" x14ac:dyDescent="0.25">
      <c r="B10" s="35">
        <v>2</v>
      </c>
      <c r="C10" s="30" t="s">
        <v>192</v>
      </c>
      <c r="D10" s="28" t="s">
        <v>193</v>
      </c>
      <c r="E10" s="30" t="s">
        <v>43</v>
      </c>
      <c r="F10" s="30" t="s">
        <v>177</v>
      </c>
      <c r="G10" s="31">
        <v>50148.705448479996</v>
      </c>
    </row>
    <row r="11" spans="2:7" x14ac:dyDescent="0.25">
      <c r="B11" s="40">
        <v>3</v>
      </c>
      <c r="C11" s="38" t="s">
        <v>186</v>
      </c>
      <c r="D11" s="27" t="s">
        <v>183</v>
      </c>
      <c r="E11" s="38" t="s">
        <v>43</v>
      </c>
      <c r="F11" s="38" t="s">
        <v>177</v>
      </c>
      <c r="G11" s="39">
        <v>49646.513599818667</v>
      </c>
    </row>
    <row r="12" spans="2:7" x14ac:dyDescent="0.25">
      <c r="B12" s="35">
        <v>4</v>
      </c>
      <c r="C12" s="30" t="s">
        <v>185</v>
      </c>
      <c r="D12" s="28" t="s">
        <v>183</v>
      </c>
      <c r="E12" s="30" t="s">
        <v>43</v>
      </c>
      <c r="F12" s="30" t="s">
        <v>177</v>
      </c>
      <c r="G12" s="31">
        <v>49615.565218694668</v>
      </c>
    </row>
    <row r="13" spans="2:7" x14ac:dyDescent="0.25">
      <c r="B13" s="40">
        <v>5</v>
      </c>
      <c r="C13" s="38" t="s">
        <v>178</v>
      </c>
      <c r="D13" s="27" t="s">
        <v>179</v>
      </c>
      <c r="E13" s="38" t="s">
        <v>43</v>
      </c>
      <c r="F13" s="38" t="s">
        <v>177</v>
      </c>
      <c r="G13" s="39">
        <v>49302.69560273167</v>
      </c>
    </row>
    <row r="14" spans="2:7" x14ac:dyDescent="0.25">
      <c r="B14" s="35">
        <v>6</v>
      </c>
      <c r="C14" s="30" t="s">
        <v>190</v>
      </c>
      <c r="D14" s="28" t="s">
        <v>183</v>
      </c>
      <c r="E14" s="30" t="s">
        <v>43</v>
      </c>
      <c r="F14" s="30" t="s">
        <v>177</v>
      </c>
      <c r="G14" s="31">
        <v>45577.708682275006</v>
      </c>
    </row>
    <row r="15" spans="2:7" x14ac:dyDescent="0.25">
      <c r="B15" s="40">
        <v>7</v>
      </c>
      <c r="C15" s="38" t="s">
        <v>175</v>
      </c>
      <c r="D15" s="27" t="s">
        <v>176</v>
      </c>
      <c r="E15" s="38" t="s">
        <v>43</v>
      </c>
      <c r="F15" s="38" t="s">
        <v>177</v>
      </c>
      <c r="G15" s="39">
        <v>45560.780706961668</v>
      </c>
    </row>
    <row r="16" spans="2:7" ht="24.75" x14ac:dyDescent="0.25">
      <c r="B16" s="35">
        <v>8</v>
      </c>
      <c r="C16" s="30" t="s">
        <v>199</v>
      </c>
      <c r="D16" s="28" t="s">
        <v>193</v>
      </c>
      <c r="E16" s="30" t="s">
        <v>43</v>
      </c>
      <c r="F16" s="30" t="s">
        <v>177</v>
      </c>
      <c r="G16" s="31">
        <v>45300.379428056665</v>
      </c>
    </row>
    <row r="17" spans="2:7" x14ac:dyDescent="0.25">
      <c r="B17" s="40">
        <v>9</v>
      </c>
      <c r="C17" s="38" t="s">
        <v>187</v>
      </c>
      <c r="D17" s="27" t="s">
        <v>183</v>
      </c>
      <c r="E17" s="38" t="s">
        <v>43</v>
      </c>
      <c r="F17" s="38" t="s">
        <v>177</v>
      </c>
      <c r="G17" s="39">
        <v>44853.008095732999</v>
      </c>
    </row>
    <row r="18" spans="2:7" x14ac:dyDescent="0.25">
      <c r="B18" s="35">
        <v>10</v>
      </c>
      <c r="C18" s="30" t="s">
        <v>196</v>
      </c>
      <c r="D18" s="28" t="s">
        <v>183</v>
      </c>
      <c r="E18" s="30" t="s">
        <v>43</v>
      </c>
      <c r="F18" s="30" t="s">
        <v>177</v>
      </c>
      <c r="G18" s="31">
        <v>44534.088311531006</v>
      </c>
    </row>
    <row r="19" spans="2:7" x14ac:dyDescent="0.25">
      <c r="B19" s="40">
        <v>11</v>
      </c>
      <c r="C19" s="38" t="s">
        <v>188</v>
      </c>
      <c r="D19" s="27" t="s">
        <v>189</v>
      </c>
      <c r="E19" s="38" t="s">
        <v>43</v>
      </c>
      <c r="F19" s="38" t="s">
        <v>177</v>
      </c>
      <c r="G19" s="39">
        <v>44513.715197620331</v>
      </c>
    </row>
    <row r="20" spans="2:7" x14ac:dyDescent="0.25">
      <c r="B20" s="35">
        <v>12</v>
      </c>
      <c r="C20" s="30" t="s">
        <v>200</v>
      </c>
      <c r="D20" s="28" t="s">
        <v>176</v>
      </c>
      <c r="E20" s="30" t="s">
        <v>43</v>
      </c>
      <c r="F20" s="30" t="s">
        <v>177</v>
      </c>
      <c r="G20" s="31">
        <v>44266.291264367661</v>
      </c>
    </row>
    <row r="21" spans="2:7" x14ac:dyDescent="0.25">
      <c r="B21" s="40">
        <v>13</v>
      </c>
      <c r="C21" s="38" t="s">
        <v>184</v>
      </c>
      <c r="D21" s="27" t="s">
        <v>183</v>
      </c>
      <c r="E21" s="38" t="s">
        <v>43</v>
      </c>
      <c r="F21" s="38" t="s">
        <v>177</v>
      </c>
      <c r="G21" s="39">
        <v>44255.524786930335</v>
      </c>
    </row>
    <row r="22" spans="2:7" x14ac:dyDescent="0.25">
      <c r="B22" s="35">
        <v>14</v>
      </c>
      <c r="C22" s="30" t="s">
        <v>194</v>
      </c>
      <c r="D22" s="28" t="s">
        <v>189</v>
      </c>
      <c r="E22" s="30" t="s">
        <v>43</v>
      </c>
      <c r="F22" s="30" t="s">
        <v>177</v>
      </c>
      <c r="G22" s="31">
        <v>43805.291171735997</v>
      </c>
    </row>
    <row r="23" spans="2:7" x14ac:dyDescent="0.25">
      <c r="B23" s="40">
        <v>15</v>
      </c>
      <c r="C23" s="38" t="s">
        <v>195</v>
      </c>
      <c r="D23" s="27" t="s">
        <v>179</v>
      </c>
      <c r="E23" s="38" t="s">
        <v>43</v>
      </c>
      <c r="F23" s="38" t="s">
        <v>177</v>
      </c>
      <c r="G23" s="39">
        <v>43152.005297594333</v>
      </c>
    </row>
    <row r="24" spans="2:7" x14ac:dyDescent="0.25">
      <c r="B24" s="35">
        <v>16</v>
      </c>
      <c r="C24" s="30" t="s">
        <v>191</v>
      </c>
      <c r="D24" s="28" t="s">
        <v>176</v>
      </c>
      <c r="E24" s="30" t="s">
        <v>43</v>
      </c>
      <c r="F24" s="30" t="s">
        <v>177</v>
      </c>
      <c r="G24" s="31">
        <v>42741.808209993011</v>
      </c>
    </row>
    <row r="25" spans="2:7" x14ac:dyDescent="0.25">
      <c r="B25" s="40">
        <v>17</v>
      </c>
      <c r="C25" s="38" t="s">
        <v>180</v>
      </c>
      <c r="D25" s="27" t="s">
        <v>176</v>
      </c>
      <c r="E25" s="38" t="s">
        <v>43</v>
      </c>
      <c r="F25" s="38" t="s">
        <v>177</v>
      </c>
      <c r="G25" s="39">
        <v>41759.982077593995</v>
      </c>
    </row>
    <row r="26" spans="2:7" x14ac:dyDescent="0.25">
      <c r="B26" s="35">
        <v>18</v>
      </c>
      <c r="C26" s="30" t="s">
        <v>198</v>
      </c>
      <c r="D26" s="28" t="s">
        <v>183</v>
      </c>
      <c r="E26" s="30" t="s">
        <v>43</v>
      </c>
      <c r="F26" s="30" t="s">
        <v>177</v>
      </c>
      <c r="G26" s="31">
        <v>40252.614225210338</v>
      </c>
    </row>
    <row r="27" spans="2:7" x14ac:dyDescent="0.25">
      <c r="B27" s="40">
        <v>19</v>
      </c>
      <c r="C27" s="38" t="s">
        <v>197</v>
      </c>
      <c r="D27" s="27" t="s">
        <v>183</v>
      </c>
      <c r="E27" s="38" t="s">
        <v>43</v>
      </c>
      <c r="F27" s="38" t="s">
        <v>177</v>
      </c>
      <c r="G27" s="39">
        <v>40216.973226505666</v>
      </c>
    </row>
    <row r="28" spans="2:7" x14ac:dyDescent="0.25">
      <c r="B28" s="35">
        <v>20</v>
      </c>
      <c r="C28" s="30" t="s">
        <v>201</v>
      </c>
      <c r="D28" s="28" t="s">
        <v>183</v>
      </c>
      <c r="E28" s="30" t="s">
        <v>43</v>
      </c>
      <c r="F28" s="30" t="s">
        <v>177</v>
      </c>
      <c r="G28" s="31">
        <v>36341.996351884001</v>
      </c>
    </row>
    <row r="29" spans="2:7" x14ac:dyDescent="0.25">
      <c r="B29" s="40">
        <v>21</v>
      </c>
      <c r="C29" s="38" t="s">
        <v>203</v>
      </c>
      <c r="D29" s="27" t="s">
        <v>179</v>
      </c>
      <c r="E29" s="38" t="s">
        <v>43</v>
      </c>
      <c r="F29" s="38" t="s">
        <v>177</v>
      </c>
      <c r="G29" s="39">
        <v>34595.155724729004</v>
      </c>
    </row>
    <row r="30" spans="2:7" x14ac:dyDescent="0.25">
      <c r="B30" s="35">
        <v>22</v>
      </c>
      <c r="C30" s="30" t="s">
        <v>328</v>
      </c>
      <c r="D30" s="28" t="s">
        <v>183</v>
      </c>
      <c r="E30" s="30" t="s">
        <v>43</v>
      </c>
      <c r="F30" s="30" t="s">
        <v>177</v>
      </c>
      <c r="G30" s="31">
        <v>33971.132981951996</v>
      </c>
    </row>
    <row r="31" spans="2:7" x14ac:dyDescent="0.25">
      <c r="B31" s="40">
        <v>23</v>
      </c>
      <c r="C31" s="38" t="s">
        <v>206</v>
      </c>
      <c r="D31" s="27" t="s">
        <v>189</v>
      </c>
      <c r="E31" s="38" t="s">
        <v>43</v>
      </c>
      <c r="F31" s="38" t="s">
        <v>177</v>
      </c>
      <c r="G31" s="39">
        <v>31481.35844770633</v>
      </c>
    </row>
    <row r="32" spans="2:7" x14ac:dyDescent="0.25">
      <c r="B32" s="35">
        <v>24</v>
      </c>
      <c r="C32" s="30" t="s">
        <v>207</v>
      </c>
      <c r="D32" s="28" t="s">
        <v>189</v>
      </c>
      <c r="E32" s="30" t="s">
        <v>43</v>
      </c>
      <c r="F32" s="30" t="s">
        <v>177</v>
      </c>
      <c r="G32" s="31">
        <v>31420.142242900332</v>
      </c>
    </row>
    <row r="33" spans="2:7" x14ac:dyDescent="0.25">
      <c r="B33" s="40">
        <v>25</v>
      </c>
      <c r="C33" s="38" t="s">
        <v>205</v>
      </c>
      <c r="D33" s="27" t="s">
        <v>179</v>
      </c>
      <c r="E33" s="38" t="s">
        <v>43</v>
      </c>
      <c r="F33" s="38" t="s">
        <v>177</v>
      </c>
      <c r="G33" s="39">
        <v>31335.119945885668</v>
      </c>
    </row>
    <row r="34" spans="2:7" x14ac:dyDescent="0.25">
      <c r="B34" s="35">
        <v>26</v>
      </c>
      <c r="C34" s="30" t="s">
        <v>204</v>
      </c>
      <c r="D34" s="28" t="s">
        <v>142</v>
      </c>
      <c r="E34" s="30" t="s">
        <v>43</v>
      </c>
      <c r="F34" s="30" t="s">
        <v>177</v>
      </c>
      <c r="G34" s="31">
        <v>30334.933438775999</v>
      </c>
    </row>
    <row r="35" spans="2:7" ht="24.75" x14ac:dyDescent="0.25">
      <c r="B35" s="40">
        <v>27</v>
      </c>
      <c r="C35" s="38" t="s">
        <v>329</v>
      </c>
      <c r="D35" s="27" t="s">
        <v>193</v>
      </c>
      <c r="E35" s="38" t="s">
        <v>43</v>
      </c>
      <c r="F35" s="38" t="s">
        <v>177</v>
      </c>
      <c r="G35" s="39">
        <v>28048.495672550005</v>
      </c>
    </row>
    <row r="36" spans="2:7" x14ac:dyDescent="0.25">
      <c r="B36" s="35">
        <v>28</v>
      </c>
      <c r="C36" s="30" t="s">
        <v>208</v>
      </c>
      <c r="D36" s="28" t="s">
        <v>183</v>
      </c>
      <c r="E36" s="30" t="s">
        <v>43</v>
      </c>
      <c r="F36" s="30" t="s">
        <v>177</v>
      </c>
      <c r="G36" s="31">
        <v>27609.353298649334</v>
      </c>
    </row>
    <row r="37" spans="2:7" x14ac:dyDescent="0.25">
      <c r="B37" s="40">
        <v>29</v>
      </c>
      <c r="C37" s="38" t="s">
        <v>216</v>
      </c>
      <c r="D37" s="27" t="s">
        <v>183</v>
      </c>
      <c r="E37" s="38" t="s">
        <v>43</v>
      </c>
      <c r="F37" s="38" t="s">
        <v>177</v>
      </c>
      <c r="G37" s="39">
        <v>27167.173365839335</v>
      </c>
    </row>
    <row r="38" spans="2:7" ht="24.75" x14ac:dyDescent="0.25">
      <c r="B38" s="41">
        <v>30</v>
      </c>
      <c r="C38" s="42" t="s">
        <v>330</v>
      </c>
      <c r="D38" s="47" t="s">
        <v>193</v>
      </c>
      <c r="E38" s="42" t="s">
        <v>43</v>
      </c>
      <c r="F38" s="42" t="s">
        <v>177</v>
      </c>
      <c r="G38" s="43">
        <v>27024.32507160867</v>
      </c>
    </row>
    <row r="41" spans="2:7" ht="26.25" x14ac:dyDescent="0.4">
      <c r="B41" s="2" t="s">
        <v>210</v>
      </c>
    </row>
    <row r="43" spans="2:7" ht="24.75" customHeight="1" x14ac:dyDescent="0.25">
      <c r="B43" s="48" t="s">
        <v>52</v>
      </c>
      <c r="C43" s="48" t="s">
        <v>173</v>
      </c>
      <c r="D43" s="48" t="s">
        <v>135</v>
      </c>
      <c r="E43" s="48" t="s">
        <v>42</v>
      </c>
      <c r="F43" s="48" t="s">
        <v>174</v>
      </c>
      <c r="G43" s="48" t="s">
        <v>211</v>
      </c>
    </row>
    <row r="44" spans="2:7" x14ac:dyDescent="0.25">
      <c r="B44" s="40">
        <v>1</v>
      </c>
      <c r="C44" s="38" t="s">
        <v>175</v>
      </c>
      <c r="D44" s="38" t="s">
        <v>176</v>
      </c>
      <c r="E44" s="38" t="s">
        <v>43</v>
      </c>
      <c r="F44" s="38" t="s">
        <v>177</v>
      </c>
      <c r="G44" s="39">
        <v>2955.8604</v>
      </c>
    </row>
    <row r="45" spans="2:7" x14ac:dyDescent="0.25">
      <c r="B45" s="29">
        <v>2</v>
      </c>
      <c r="C45" s="30" t="s">
        <v>200</v>
      </c>
      <c r="D45" s="30" t="s">
        <v>176</v>
      </c>
      <c r="E45" s="30" t="s">
        <v>43</v>
      </c>
      <c r="F45" s="30" t="s">
        <v>177</v>
      </c>
      <c r="G45" s="31">
        <v>2895.4421666666672</v>
      </c>
    </row>
    <row r="46" spans="2:7" x14ac:dyDescent="0.25">
      <c r="B46" s="40">
        <v>3</v>
      </c>
      <c r="C46" s="38" t="s">
        <v>191</v>
      </c>
      <c r="D46" s="38" t="s">
        <v>176</v>
      </c>
      <c r="E46" s="38" t="s">
        <v>43</v>
      </c>
      <c r="F46" s="38" t="s">
        <v>177</v>
      </c>
      <c r="G46" s="39">
        <v>2779.8815000000004</v>
      </c>
    </row>
    <row r="47" spans="2:7" x14ac:dyDescent="0.25">
      <c r="B47" s="29">
        <v>4</v>
      </c>
      <c r="C47" s="30" t="s">
        <v>180</v>
      </c>
      <c r="D47" s="30" t="s">
        <v>176</v>
      </c>
      <c r="E47" s="30" t="s">
        <v>43</v>
      </c>
      <c r="F47" s="30" t="s">
        <v>177</v>
      </c>
      <c r="G47" s="31">
        <v>2716.5684999999999</v>
      </c>
    </row>
    <row r="48" spans="2:7" ht="24" x14ac:dyDescent="0.25">
      <c r="B48" s="40">
        <v>5</v>
      </c>
      <c r="C48" s="38" t="s">
        <v>192</v>
      </c>
      <c r="D48" s="38" t="s">
        <v>193</v>
      </c>
      <c r="E48" s="38" t="s">
        <v>43</v>
      </c>
      <c r="F48" s="38" t="s">
        <v>177</v>
      </c>
      <c r="G48" s="39">
        <v>2304.4112333333333</v>
      </c>
    </row>
    <row r="49" spans="2:7" x14ac:dyDescent="0.25">
      <c r="B49" s="29">
        <v>6</v>
      </c>
      <c r="C49" s="30" t="s">
        <v>196</v>
      </c>
      <c r="D49" s="30" t="s">
        <v>183</v>
      </c>
      <c r="E49" s="30" t="s">
        <v>43</v>
      </c>
      <c r="F49" s="30" t="s">
        <v>177</v>
      </c>
      <c r="G49" s="31">
        <v>2125.7998666666667</v>
      </c>
    </row>
    <row r="50" spans="2:7" x14ac:dyDescent="0.25">
      <c r="B50" s="40">
        <v>7</v>
      </c>
      <c r="C50" s="38" t="s">
        <v>182</v>
      </c>
      <c r="D50" s="38" t="s">
        <v>183</v>
      </c>
      <c r="E50" s="38" t="s">
        <v>43</v>
      </c>
      <c r="F50" s="38" t="s">
        <v>177</v>
      </c>
      <c r="G50" s="39">
        <v>1943.0321333333334</v>
      </c>
    </row>
    <row r="51" spans="2:7" x14ac:dyDescent="0.25">
      <c r="B51" s="29">
        <v>8</v>
      </c>
      <c r="C51" s="30" t="s">
        <v>186</v>
      </c>
      <c r="D51" s="30" t="s">
        <v>183</v>
      </c>
      <c r="E51" s="30" t="s">
        <v>43</v>
      </c>
      <c r="F51" s="30" t="s">
        <v>177</v>
      </c>
      <c r="G51" s="31">
        <v>1914.4888333333331</v>
      </c>
    </row>
    <row r="52" spans="2:7" x14ac:dyDescent="0.25">
      <c r="B52" s="40">
        <v>9</v>
      </c>
      <c r="C52" s="38" t="s">
        <v>185</v>
      </c>
      <c r="D52" s="38" t="s">
        <v>183</v>
      </c>
      <c r="E52" s="38" t="s">
        <v>43</v>
      </c>
      <c r="F52" s="38" t="s">
        <v>177</v>
      </c>
      <c r="G52" s="39">
        <v>1900.0014333333336</v>
      </c>
    </row>
    <row r="53" spans="2:7" x14ac:dyDescent="0.25">
      <c r="B53" s="29">
        <v>10</v>
      </c>
      <c r="C53" s="30" t="s">
        <v>190</v>
      </c>
      <c r="D53" s="30" t="s">
        <v>183</v>
      </c>
      <c r="E53" s="30" t="s">
        <v>43</v>
      </c>
      <c r="F53" s="30" t="s">
        <v>177</v>
      </c>
      <c r="G53" s="31">
        <v>1898.6560666666667</v>
      </c>
    </row>
    <row r="54" spans="2:7" x14ac:dyDescent="0.25">
      <c r="B54" s="40">
        <v>11</v>
      </c>
      <c r="C54" s="38" t="s">
        <v>195</v>
      </c>
      <c r="D54" s="38" t="s">
        <v>179</v>
      </c>
      <c r="E54" s="38" t="s">
        <v>43</v>
      </c>
      <c r="F54" s="38" t="s">
        <v>177</v>
      </c>
      <c r="G54" s="39">
        <v>1876.5739333333333</v>
      </c>
    </row>
    <row r="55" spans="2:7" x14ac:dyDescent="0.25">
      <c r="B55" s="29">
        <v>12</v>
      </c>
      <c r="C55" s="30" t="s">
        <v>184</v>
      </c>
      <c r="D55" s="30" t="s">
        <v>183</v>
      </c>
      <c r="E55" s="30" t="s">
        <v>43</v>
      </c>
      <c r="F55" s="30" t="s">
        <v>177</v>
      </c>
      <c r="G55" s="31">
        <v>1836.2772333333332</v>
      </c>
    </row>
    <row r="56" spans="2:7" x14ac:dyDescent="0.25">
      <c r="B56" s="40">
        <v>13</v>
      </c>
      <c r="C56" s="38" t="s">
        <v>181</v>
      </c>
      <c r="D56" s="38" t="s">
        <v>176</v>
      </c>
      <c r="E56" s="38" t="s">
        <v>43</v>
      </c>
      <c r="F56" s="38" t="s">
        <v>177</v>
      </c>
      <c r="G56" s="39">
        <v>1789.2466999999999</v>
      </c>
    </row>
    <row r="57" spans="2:7" x14ac:dyDescent="0.25">
      <c r="B57" s="29">
        <v>14</v>
      </c>
      <c r="C57" s="30" t="s">
        <v>215</v>
      </c>
      <c r="D57" s="30" t="s">
        <v>142</v>
      </c>
      <c r="E57" s="30" t="s">
        <v>43</v>
      </c>
      <c r="F57" s="30" t="s">
        <v>177</v>
      </c>
      <c r="G57" s="31">
        <v>1787.7260666666666</v>
      </c>
    </row>
    <row r="58" spans="2:7" x14ac:dyDescent="0.25">
      <c r="B58" s="40">
        <v>15</v>
      </c>
      <c r="C58" s="38" t="s">
        <v>187</v>
      </c>
      <c r="D58" s="38" t="s">
        <v>183</v>
      </c>
      <c r="E58" s="38" t="s">
        <v>43</v>
      </c>
      <c r="F58" s="38" t="s">
        <v>177</v>
      </c>
      <c r="G58" s="39">
        <v>1690.6934333333334</v>
      </c>
    </row>
    <row r="59" spans="2:7" x14ac:dyDescent="0.25">
      <c r="B59" s="29">
        <v>16</v>
      </c>
      <c r="C59" s="30" t="s">
        <v>208</v>
      </c>
      <c r="D59" s="30" t="s">
        <v>183</v>
      </c>
      <c r="E59" s="30" t="s">
        <v>43</v>
      </c>
      <c r="F59" s="30" t="s">
        <v>177</v>
      </c>
      <c r="G59" s="31">
        <v>1634.4021333333333</v>
      </c>
    </row>
    <row r="60" spans="2:7" x14ac:dyDescent="0.25">
      <c r="B60" s="40">
        <v>17</v>
      </c>
      <c r="C60" s="38" t="s">
        <v>204</v>
      </c>
      <c r="D60" s="38" t="s">
        <v>142</v>
      </c>
      <c r="E60" s="38" t="s">
        <v>43</v>
      </c>
      <c r="F60" s="38" t="s">
        <v>177</v>
      </c>
      <c r="G60" s="39">
        <v>1559.2248</v>
      </c>
    </row>
    <row r="61" spans="2:7" x14ac:dyDescent="0.25">
      <c r="B61" s="29">
        <v>18</v>
      </c>
      <c r="C61" s="30" t="s">
        <v>203</v>
      </c>
      <c r="D61" s="30" t="s">
        <v>179</v>
      </c>
      <c r="E61" s="30" t="s">
        <v>43</v>
      </c>
      <c r="F61" s="30" t="s">
        <v>177</v>
      </c>
      <c r="G61" s="31">
        <v>1535.3733666666667</v>
      </c>
    </row>
    <row r="62" spans="2:7" ht="24" x14ac:dyDescent="0.25">
      <c r="B62" s="40">
        <v>19</v>
      </c>
      <c r="C62" s="38" t="s">
        <v>199</v>
      </c>
      <c r="D62" s="38" t="s">
        <v>193</v>
      </c>
      <c r="E62" s="38" t="s">
        <v>43</v>
      </c>
      <c r="F62" s="38" t="s">
        <v>177</v>
      </c>
      <c r="G62" s="39">
        <v>1532.3021999999999</v>
      </c>
    </row>
    <row r="63" spans="2:7" ht="36" x14ac:dyDescent="0.25">
      <c r="B63" s="29">
        <v>20</v>
      </c>
      <c r="C63" s="30" t="s">
        <v>212</v>
      </c>
      <c r="D63" s="30" t="s">
        <v>213</v>
      </c>
      <c r="E63" s="30" t="s">
        <v>43</v>
      </c>
      <c r="F63" s="30" t="s">
        <v>177</v>
      </c>
      <c r="G63" s="31">
        <v>1520.1049666666668</v>
      </c>
    </row>
    <row r="64" spans="2:7" x14ac:dyDescent="0.25">
      <c r="B64" s="40">
        <v>21</v>
      </c>
      <c r="C64" s="38" t="s">
        <v>198</v>
      </c>
      <c r="D64" s="38" t="s">
        <v>183</v>
      </c>
      <c r="E64" s="38" t="s">
        <v>43</v>
      </c>
      <c r="F64" s="38" t="s">
        <v>177</v>
      </c>
      <c r="G64" s="39">
        <v>1493.4349333333334</v>
      </c>
    </row>
    <row r="65" spans="2:7" x14ac:dyDescent="0.25">
      <c r="B65" s="29">
        <v>22</v>
      </c>
      <c r="C65" s="30" t="s">
        <v>202</v>
      </c>
      <c r="D65" s="30" t="s">
        <v>183</v>
      </c>
      <c r="E65" s="30" t="s">
        <v>43</v>
      </c>
      <c r="F65" s="30" t="s">
        <v>177</v>
      </c>
      <c r="G65" s="31">
        <v>1472.3035000000002</v>
      </c>
    </row>
    <row r="66" spans="2:7" x14ac:dyDescent="0.25">
      <c r="B66" s="40">
        <v>23</v>
      </c>
      <c r="C66" s="38" t="s">
        <v>178</v>
      </c>
      <c r="D66" s="38" t="s">
        <v>179</v>
      </c>
      <c r="E66" s="38" t="s">
        <v>43</v>
      </c>
      <c r="F66" s="38" t="s">
        <v>177</v>
      </c>
      <c r="G66" s="39">
        <v>1462.0304333333333</v>
      </c>
    </row>
    <row r="67" spans="2:7" x14ac:dyDescent="0.25">
      <c r="B67" s="29">
        <v>24</v>
      </c>
      <c r="C67" s="30" t="s">
        <v>201</v>
      </c>
      <c r="D67" s="30" t="s">
        <v>183</v>
      </c>
      <c r="E67" s="30" t="s">
        <v>43</v>
      </c>
      <c r="F67" s="30" t="s">
        <v>177</v>
      </c>
      <c r="G67" s="31">
        <v>1459.3249666666666</v>
      </c>
    </row>
    <row r="68" spans="2:7" x14ac:dyDescent="0.25">
      <c r="B68" s="40">
        <v>25</v>
      </c>
      <c r="C68" s="38" t="s">
        <v>331</v>
      </c>
      <c r="D68" s="38" t="s">
        <v>142</v>
      </c>
      <c r="E68" s="38" t="s">
        <v>43</v>
      </c>
      <c r="F68" s="38" t="s">
        <v>177</v>
      </c>
      <c r="G68" s="39">
        <v>1437.8021333333334</v>
      </c>
    </row>
    <row r="69" spans="2:7" x14ac:dyDescent="0.25">
      <c r="B69" s="29">
        <v>26</v>
      </c>
      <c r="C69" s="30" t="s">
        <v>216</v>
      </c>
      <c r="D69" s="30" t="s">
        <v>183</v>
      </c>
      <c r="E69" s="30" t="s">
        <v>43</v>
      </c>
      <c r="F69" s="30" t="s">
        <v>177</v>
      </c>
      <c r="G69" s="31">
        <v>1424.1879666666666</v>
      </c>
    </row>
    <row r="70" spans="2:7" x14ac:dyDescent="0.25">
      <c r="B70" s="40">
        <v>27</v>
      </c>
      <c r="C70" s="38" t="s">
        <v>214</v>
      </c>
      <c r="D70" s="38" t="s">
        <v>142</v>
      </c>
      <c r="E70" s="38" t="s">
        <v>43</v>
      </c>
      <c r="F70" s="38" t="s">
        <v>177</v>
      </c>
      <c r="G70" s="39">
        <v>1373.9638666666665</v>
      </c>
    </row>
    <row r="71" spans="2:7" x14ac:dyDescent="0.25">
      <c r="B71" s="29">
        <v>28</v>
      </c>
      <c r="C71" s="30" t="s">
        <v>197</v>
      </c>
      <c r="D71" s="30" t="s">
        <v>183</v>
      </c>
      <c r="E71" s="30" t="s">
        <v>43</v>
      </c>
      <c r="F71" s="30" t="s">
        <v>177</v>
      </c>
      <c r="G71" s="31">
        <v>1358.0854999999999</v>
      </c>
    </row>
    <row r="72" spans="2:7" ht="24" x14ac:dyDescent="0.25">
      <c r="B72" s="40">
        <v>29</v>
      </c>
      <c r="C72" s="38" t="s">
        <v>332</v>
      </c>
      <c r="D72" s="38" t="s">
        <v>333</v>
      </c>
      <c r="E72" s="38" t="s">
        <v>43</v>
      </c>
      <c r="F72" s="38" t="s">
        <v>177</v>
      </c>
      <c r="G72" s="39">
        <v>1345.7254</v>
      </c>
    </row>
    <row r="73" spans="2:7" x14ac:dyDescent="0.25">
      <c r="B73" s="46">
        <v>30</v>
      </c>
      <c r="C73" s="42" t="s">
        <v>328</v>
      </c>
      <c r="D73" s="42" t="s">
        <v>183</v>
      </c>
      <c r="E73" s="42" t="s">
        <v>43</v>
      </c>
      <c r="F73" s="42" t="s">
        <v>177</v>
      </c>
      <c r="G73" s="43">
        <v>1264.7752333333333</v>
      </c>
    </row>
    <row r="76" spans="2:7" ht="26.25" x14ac:dyDescent="0.4">
      <c r="B76" s="2" t="s">
        <v>217</v>
      </c>
    </row>
    <row r="78" spans="2:7" ht="17.25" customHeight="1" x14ac:dyDescent="0.25">
      <c r="B78" s="48" t="s">
        <v>52</v>
      </c>
      <c r="C78" s="48" t="s">
        <v>173</v>
      </c>
      <c r="D78" s="48" t="s">
        <v>135</v>
      </c>
      <c r="E78" s="48" t="s">
        <v>42</v>
      </c>
      <c r="F78" s="48" t="s">
        <v>174</v>
      </c>
      <c r="G78" s="48" t="s">
        <v>218</v>
      </c>
    </row>
    <row r="79" spans="2:7" ht="24" x14ac:dyDescent="0.25">
      <c r="B79" s="40">
        <v>1</v>
      </c>
      <c r="C79" s="38" t="s">
        <v>192</v>
      </c>
      <c r="D79" s="38" t="s">
        <v>193</v>
      </c>
      <c r="E79" s="38" t="s">
        <v>43</v>
      </c>
      <c r="F79" s="38" t="s">
        <v>177</v>
      </c>
      <c r="G79" s="39">
        <v>64643.014268012324</v>
      </c>
    </row>
    <row r="80" spans="2:7" x14ac:dyDescent="0.25">
      <c r="B80" s="35">
        <v>2</v>
      </c>
      <c r="C80" s="30" t="s">
        <v>175</v>
      </c>
      <c r="D80" s="30" t="s">
        <v>176</v>
      </c>
      <c r="E80" s="30" t="s">
        <v>43</v>
      </c>
      <c r="F80" s="30" t="s">
        <v>177</v>
      </c>
      <c r="G80" s="31">
        <v>64152.581009485672</v>
      </c>
    </row>
    <row r="81" spans="2:7" x14ac:dyDescent="0.25">
      <c r="B81" s="40">
        <v>3</v>
      </c>
      <c r="C81" s="38" t="s">
        <v>182</v>
      </c>
      <c r="D81" s="38" t="s">
        <v>183</v>
      </c>
      <c r="E81" s="38" t="s">
        <v>43</v>
      </c>
      <c r="F81" s="38" t="s">
        <v>177</v>
      </c>
      <c r="G81" s="39">
        <v>62681.618996702673</v>
      </c>
    </row>
    <row r="82" spans="2:7" x14ac:dyDescent="0.25">
      <c r="B82" s="35">
        <v>4</v>
      </c>
      <c r="C82" s="30" t="s">
        <v>200</v>
      </c>
      <c r="D82" s="30" t="s">
        <v>176</v>
      </c>
      <c r="E82" s="30" t="s">
        <v>43</v>
      </c>
      <c r="F82" s="30" t="s">
        <v>177</v>
      </c>
      <c r="G82" s="31">
        <v>62478.072358689329</v>
      </c>
    </row>
    <row r="83" spans="2:7" x14ac:dyDescent="0.25">
      <c r="B83" s="40">
        <v>5</v>
      </c>
      <c r="C83" s="38" t="s">
        <v>186</v>
      </c>
      <c r="D83" s="38" t="s">
        <v>183</v>
      </c>
      <c r="E83" s="38" t="s">
        <v>43</v>
      </c>
      <c r="F83" s="38" t="s">
        <v>177</v>
      </c>
      <c r="G83" s="39">
        <v>61688.284608606999</v>
      </c>
    </row>
    <row r="84" spans="2:7" x14ac:dyDescent="0.25">
      <c r="B84" s="35">
        <v>6</v>
      </c>
      <c r="C84" s="30" t="s">
        <v>185</v>
      </c>
      <c r="D84" s="30" t="s">
        <v>183</v>
      </c>
      <c r="E84" s="30" t="s">
        <v>43</v>
      </c>
      <c r="F84" s="30" t="s">
        <v>177</v>
      </c>
      <c r="G84" s="31">
        <v>61566.213234089002</v>
      </c>
    </row>
    <row r="85" spans="2:7" x14ac:dyDescent="0.25">
      <c r="B85" s="40">
        <v>7</v>
      </c>
      <c r="C85" s="38" t="s">
        <v>191</v>
      </c>
      <c r="D85" s="38" t="s">
        <v>176</v>
      </c>
      <c r="E85" s="38" t="s">
        <v>43</v>
      </c>
      <c r="F85" s="38" t="s">
        <v>177</v>
      </c>
      <c r="G85" s="39">
        <v>60226.734667508019</v>
      </c>
    </row>
    <row r="86" spans="2:7" x14ac:dyDescent="0.25">
      <c r="B86" s="35">
        <v>8</v>
      </c>
      <c r="C86" s="30" t="s">
        <v>180</v>
      </c>
      <c r="D86" s="30" t="s">
        <v>176</v>
      </c>
      <c r="E86" s="30" t="s">
        <v>43</v>
      </c>
      <c r="F86" s="30" t="s">
        <v>177</v>
      </c>
      <c r="G86" s="31">
        <v>58846.681794578995</v>
      </c>
    </row>
    <row r="87" spans="2:7" x14ac:dyDescent="0.25">
      <c r="B87" s="40">
        <v>9</v>
      </c>
      <c r="C87" s="38" t="s">
        <v>178</v>
      </c>
      <c r="D87" s="38" t="s">
        <v>179</v>
      </c>
      <c r="E87" s="38" t="s">
        <v>43</v>
      </c>
      <c r="F87" s="38" t="s">
        <v>177</v>
      </c>
      <c r="G87" s="39">
        <v>58498.589242616006</v>
      </c>
    </row>
    <row r="88" spans="2:7" x14ac:dyDescent="0.25">
      <c r="B88" s="35">
        <v>10</v>
      </c>
      <c r="C88" s="30" t="s">
        <v>196</v>
      </c>
      <c r="D88" s="30" t="s">
        <v>183</v>
      </c>
      <c r="E88" s="30" t="s">
        <v>43</v>
      </c>
      <c r="F88" s="30" t="s">
        <v>177</v>
      </c>
      <c r="G88" s="31">
        <v>57904.965570889675</v>
      </c>
    </row>
    <row r="89" spans="2:7" x14ac:dyDescent="0.25">
      <c r="B89" s="40">
        <v>11</v>
      </c>
      <c r="C89" s="38" t="s">
        <v>190</v>
      </c>
      <c r="D89" s="38" t="s">
        <v>183</v>
      </c>
      <c r="E89" s="38" t="s">
        <v>43</v>
      </c>
      <c r="F89" s="38" t="s">
        <v>177</v>
      </c>
      <c r="G89" s="39">
        <v>57519.894596955673</v>
      </c>
    </row>
    <row r="90" spans="2:7" x14ac:dyDescent="0.25">
      <c r="B90" s="35">
        <v>12</v>
      </c>
      <c r="C90" s="30" t="s">
        <v>184</v>
      </c>
      <c r="D90" s="30" t="s">
        <v>183</v>
      </c>
      <c r="E90" s="30" t="s">
        <v>43</v>
      </c>
      <c r="F90" s="30" t="s">
        <v>177</v>
      </c>
      <c r="G90" s="31">
        <v>55805.359691922669</v>
      </c>
    </row>
    <row r="91" spans="2:7" x14ac:dyDescent="0.25">
      <c r="B91" s="40">
        <v>13</v>
      </c>
      <c r="C91" s="38" t="s">
        <v>187</v>
      </c>
      <c r="D91" s="38" t="s">
        <v>183</v>
      </c>
      <c r="E91" s="38" t="s">
        <v>43</v>
      </c>
      <c r="F91" s="38" t="s">
        <v>177</v>
      </c>
      <c r="G91" s="39">
        <v>55487.148559647336</v>
      </c>
    </row>
    <row r="92" spans="2:7" x14ac:dyDescent="0.25">
      <c r="B92" s="35">
        <v>14</v>
      </c>
      <c r="C92" s="30" t="s">
        <v>195</v>
      </c>
      <c r="D92" s="30" t="s">
        <v>179</v>
      </c>
      <c r="E92" s="30" t="s">
        <v>43</v>
      </c>
      <c r="F92" s="30" t="s">
        <v>177</v>
      </c>
      <c r="G92" s="31">
        <v>54955.298789213666</v>
      </c>
    </row>
    <row r="93" spans="2:7" ht="24" x14ac:dyDescent="0.25">
      <c r="B93" s="40">
        <v>15</v>
      </c>
      <c r="C93" s="38" t="s">
        <v>199</v>
      </c>
      <c r="D93" s="38" t="s">
        <v>193</v>
      </c>
      <c r="E93" s="38" t="s">
        <v>43</v>
      </c>
      <c r="F93" s="38" t="s">
        <v>177</v>
      </c>
      <c r="G93" s="39">
        <v>54938.269128638669</v>
      </c>
    </row>
    <row r="94" spans="2:7" x14ac:dyDescent="0.25">
      <c r="B94" s="35">
        <v>16</v>
      </c>
      <c r="C94" s="30" t="s">
        <v>198</v>
      </c>
      <c r="D94" s="30" t="s">
        <v>183</v>
      </c>
      <c r="E94" s="30" t="s">
        <v>43</v>
      </c>
      <c r="F94" s="30" t="s">
        <v>177</v>
      </c>
      <c r="G94" s="31">
        <v>49646.036203239673</v>
      </c>
    </row>
    <row r="95" spans="2:7" x14ac:dyDescent="0.25">
      <c r="B95" s="40">
        <v>17</v>
      </c>
      <c r="C95" s="38" t="s">
        <v>197</v>
      </c>
      <c r="D95" s="38" t="s">
        <v>183</v>
      </c>
      <c r="E95" s="38" t="s">
        <v>43</v>
      </c>
      <c r="F95" s="38" t="s">
        <v>177</v>
      </c>
      <c r="G95" s="39">
        <v>48759.072985260667</v>
      </c>
    </row>
    <row r="96" spans="2:7" x14ac:dyDescent="0.25">
      <c r="B96" s="35">
        <v>18</v>
      </c>
      <c r="C96" s="30" t="s">
        <v>188</v>
      </c>
      <c r="D96" s="30" t="s">
        <v>189</v>
      </c>
      <c r="E96" s="30" t="s">
        <v>43</v>
      </c>
      <c r="F96" s="30" t="s">
        <v>177</v>
      </c>
      <c r="G96" s="31">
        <v>48174.705607590666</v>
      </c>
    </row>
    <row r="97" spans="2:13" x14ac:dyDescent="0.25">
      <c r="B97" s="40">
        <v>19</v>
      </c>
      <c r="C97" s="38" t="s">
        <v>194</v>
      </c>
      <c r="D97" s="38" t="s">
        <v>189</v>
      </c>
      <c r="E97" s="38" t="s">
        <v>43</v>
      </c>
      <c r="F97" s="38" t="s">
        <v>177</v>
      </c>
      <c r="G97" s="39">
        <v>47420.032608776331</v>
      </c>
    </row>
    <row r="98" spans="2:13" x14ac:dyDescent="0.25">
      <c r="B98" s="35">
        <v>20</v>
      </c>
      <c r="C98" s="30" t="s">
        <v>201</v>
      </c>
      <c r="D98" s="30" t="s">
        <v>183</v>
      </c>
      <c r="E98" s="30" t="s">
        <v>43</v>
      </c>
      <c r="F98" s="30" t="s">
        <v>177</v>
      </c>
      <c r="G98" s="31">
        <v>45520.873120473669</v>
      </c>
    </row>
    <row r="99" spans="2:13" x14ac:dyDescent="0.25">
      <c r="B99" s="40">
        <v>21</v>
      </c>
      <c r="C99" s="38" t="s">
        <v>203</v>
      </c>
      <c r="D99" s="38" t="s">
        <v>179</v>
      </c>
      <c r="E99" s="38" t="s">
        <v>43</v>
      </c>
      <c r="F99" s="38" t="s">
        <v>177</v>
      </c>
      <c r="G99" s="39">
        <v>44252.362480122669</v>
      </c>
    </row>
    <row r="100" spans="2:13" x14ac:dyDescent="0.25">
      <c r="B100" s="35">
        <v>22</v>
      </c>
      <c r="C100" s="30" t="s">
        <v>328</v>
      </c>
      <c r="D100" s="30" t="s">
        <v>183</v>
      </c>
      <c r="E100" s="30" t="s">
        <v>43</v>
      </c>
      <c r="F100" s="30" t="s">
        <v>177</v>
      </c>
      <c r="G100" s="31">
        <v>41926.328892324331</v>
      </c>
    </row>
    <row r="101" spans="2:13" x14ac:dyDescent="0.25">
      <c r="B101" s="40">
        <v>23</v>
      </c>
      <c r="C101" s="38" t="s">
        <v>204</v>
      </c>
      <c r="D101" s="38" t="s">
        <v>142</v>
      </c>
      <c r="E101" s="38" t="s">
        <v>43</v>
      </c>
      <c r="F101" s="38" t="s">
        <v>177</v>
      </c>
      <c r="G101" s="39">
        <v>40142.161178064001</v>
      </c>
    </row>
    <row r="102" spans="2:13" x14ac:dyDescent="0.25">
      <c r="B102" s="35">
        <v>24</v>
      </c>
      <c r="C102" s="30" t="s">
        <v>208</v>
      </c>
      <c r="D102" s="30" t="s">
        <v>183</v>
      </c>
      <c r="E102" s="30" t="s">
        <v>43</v>
      </c>
      <c r="F102" s="30" t="s">
        <v>177</v>
      </c>
      <c r="G102" s="31">
        <v>37889.43218091067</v>
      </c>
    </row>
    <row r="103" spans="2:13" x14ac:dyDescent="0.25">
      <c r="B103" s="40">
        <v>25</v>
      </c>
      <c r="C103" s="38" t="s">
        <v>181</v>
      </c>
      <c r="D103" s="38" t="s">
        <v>176</v>
      </c>
      <c r="E103" s="38" t="s">
        <v>43</v>
      </c>
      <c r="F103" s="38" t="s">
        <v>177</v>
      </c>
      <c r="G103" s="39">
        <v>37270.248817947664</v>
      </c>
    </row>
    <row r="104" spans="2:13" x14ac:dyDescent="0.25">
      <c r="B104" s="35">
        <v>26</v>
      </c>
      <c r="C104" s="30" t="s">
        <v>205</v>
      </c>
      <c r="D104" s="30" t="s">
        <v>179</v>
      </c>
      <c r="E104" s="30" t="s">
        <v>43</v>
      </c>
      <c r="F104" s="30" t="s">
        <v>177</v>
      </c>
      <c r="G104" s="31">
        <v>37145.095436529671</v>
      </c>
    </row>
    <row r="105" spans="2:13" x14ac:dyDescent="0.25">
      <c r="B105" s="40">
        <v>27</v>
      </c>
      <c r="C105" s="38" t="s">
        <v>216</v>
      </c>
      <c r="D105" s="38" t="s">
        <v>183</v>
      </c>
      <c r="E105" s="38" t="s">
        <v>43</v>
      </c>
      <c r="F105" s="38" t="s">
        <v>177</v>
      </c>
      <c r="G105" s="39">
        <v>36125.045080459</v>
      </c>
    </row>
    <row r="106" spans="2:13" ht="36" x14ac:dyDescent="0.25">
      <c r="B106" s="35">
        <v>28</v>
      </c>
      <c r="C106" s="30" t="s">
        <v>212</v>
      </c>
      <c r="D106" s="30" t="s">
        <v>213</v>
      </c>
      <c r="E106" s="30" t="s">
        <v>43</v>
      </c>
      <c r="F106" s="30" t="s">
        <v>177</v>
      </c>
      <c r="G106" s="31">
        <v>34946.329864271334</v>
      </c>
    </row>
    <row r="107" spans="2:13" x14ac:dyDescent="0.25">
      <c r="B107" s="40">
        <v>29</v>
      </c>
      <c r="C107" s="38" t="s">
        <v>215</v>
      </c>
      <c r="D107" s="38" t="s">
        <v>142</v>
      </c>
      <c r="E107" s="38" t="s">
        <v>43</v>
      </c>
      <c r="F107" s="38" t="s">
        <v>177</v>
      </c>
      <c r="G107" s="39">
        <v>34427.177962265669</v>
      </c>
    </row>
    <row r="108" spans="2:13" ht="24" x14ac:dyDescent="0.25">
      <c r="B108" s="41">
        <v>30</v>
      </c>
      <c r="C108" s="42" t="s">
        <v>329</v>
      </c>
      <c r="D108" s="42" t="s">
        <v>193</v>
      </c>
      <c r="E108" s="42" t="s">
        <v>43</v>
      </c>
      <c r="F108" s="42" t="s">
        <v>177</v>
      </c>
      <c r="G108" s="43">
        <v>34205.848354099675</v>
      </c>
    </row>
    <row r="109" spans="2:13" x14ac:dyDescent="0.25">
      <c r="I109" s="74"/>
      <c r="J109" s="74"/>
      <c r="K109" s="74"/>
      <c r="L109" s="74"/>
      <c r="M109" s="74"/>
    </row>
    <row r="110" spans="2:13" ht="26.25" x14ac:dyDescent="0.4">
      <c r="B110" s="2" t="s">
        <v>219</v>
      </c>
    </row>
    <row r="112" spans="2:13" x14ac:dyDescent="0.25">
      <c r="B112" s="48" t="s">
        <v>52</v>
      </c>
      <c r="C112" s="48" t="s">
        <v>173</v>
      </c>
      <c r="D112" s="48" t="s">
        <v>135</v>
      </c>
      <c r="E112" s="48" t="s">
        <v>42</v>
      </c>
      <c r="F112" s="48" t="s">
        <v>174</v>
      </c>
      <c r="G112" s="48" t="s">
        <v>26</v>
      </c>
    </row>
    <row r="113" spans="2:7" x14ac:dyDescent="0.25">
      <c r="B113" s="40">
        <v>1</v>
      </c>
      <c r="C113" s="38" t="s">
        <v>220</v>
      </c>
      <c r="D113" s="38" t="s">
        <v>221</v>
      </c>
      <c r="E113" s="38" t="s">
        <v>47</v>
      </c>
      <c r="F113" s="38" t="s">
        <v>222</v>
      </c>
      <c r="G113" s="39">
        <v>1345.2138249993334</v>
      </c>
    </row>
    <row r="114" spans="2:7" x14ac:dyDescent="0.25">
      <c r="B114" s="35">
        <v>2</v>
      </c>
      <c r="C114" s="30" t="s">
        <v>334</v>
      </c>
      <c r="D114" s="30" t="s">
        <v>224</v>
      </c>
      <c r="E114" s="30" t="s">
        <v>46</v>
      </c>
      <c r="F114" s="30" t="s">
        <v>222</v>
      </c>
      <c r="G114" s="31">
        <v>821.61481766333338</v>
      </c>
    </row>
    <row r="115" spans="2:7" x14ac:dyDescent="0.25">
      <c r="B115" s="40">
        <v>3</v>
      </c>
      <c r="C115" s="38" t="s">
        <v>223</v>
      </c>
      <c r="D115" s="38" t="s">
        <v>224</v>
      </c>
      <c r="E115" s="38" t="s">
        <v>46</v>
      </c>
      <c r="F115" s="38" t="s">
        <v>222</v>
      </c>
      <c r="G115" s="39">
        <v>756.22574324300001</v>
      </c>
    </row>
    <row r="116" spans="2:7" x14ac:dyDescent="0.25">
      <c r="B116" s="35">
        <v>4</v>
      </c>
      <c r="C116" s="30" t="s">
        <v>225</v>
      </c>
      <c r="D116" s="30" t="s">
        <v>224</v>
      </c>
      <c r="E116" s="30" t="s">
        <v>46</v>
      </c>
      <c r="F116" s="30" t="s">
        <v>222</v>
      </c>
      <c r="G116" s="31">
        <v>677.99161884066666</v>
      </c>
    </row>
    <row r="117" spans="2:7" x14ac:dyDescent="0.25">
      <c r="B117" s="40">
        <v>5</v>
      </c>
      <c r="C117" s="38" t="s">
        <v>228</v>
      </c>
      <c r="D117" s="38" t="s">
        <v>229</v>
      </c>
      <c r="E117" s="38" t="s">
        <v>47</v>
      </c>
      <c r="F117" s="38" t="s">
        <v>222</v>
      </c>
      <c r="G117" s="39">
        <v>412.57715170533334</v>
      </c>
    </row>
    <row r="118" spans="2:7" x14ac:dyDescent="0.25">
      <c r="B118" s="35">
        <v>6</v>
      </c>
      <c r="C118" s="30" t="s">
        <v>226</v>
      </c>
      <c r="D118" s="36" t="s">
        <v>227</v>
      </c>
      <c r="E118" s="30" t="s">
        <v>47</v>
      </c>
      <c r="F118" s="30" t="s">
        <v>222</v>
      </c>
      <c r="G118" s="31">
        <v>405.19920457533334</v>
      </c>
    </row>
    <row r="119" spans="2:7" x14ac:dyDescent="0.25">
      <c r="B119" s="40">
        <v>7</v>
      </c>
      <c r="C119" s="38" t="s">
        <v>233</v>
      </c>
      <c r="D119" s="38" t="s">
        <v>227</v>
      </c>
      <c r="E119" s="38" t="s">
        <v>47</v>
      </c>
      <c r="F119" s="38" t="s">
        <v>222</v>
      </c>
      <c r="G119" s="39">
        <v>385.41397823933335</v>
      </c>
    </row>
    <row r="120" spans="2:7" x14ac:dyDescent="0.25">
      <c r="B120" s="35">
        <v>8</v>
      </c>
      <c r="C120" s="30" t="s">
        <v>231</v>
      </c>
      <c r="D120" s="36" t="s">
        <v>232</v>
      </c>
      <c r="E120" s="30" t="s">
        <v>47</v>
      </c>
      <c r="F120" s="30" t="s">
        <v>222</v>
      </c>
      <c r="G120" s="31">
        <v>375.01608366800002</v>
      </c>
    </row>
    <row r="121" spans="2:7" x14ac:dyDescent="0.25">
      <c r="B121" s="40">
        <v>9</v>
      </c>
      <c r="C121" s="38" t="s">
        <v>230</v>
      </c>
      <c r="D121" s="38" t="s">
        <v>227</v>
      </c>
      <c r="E121" s="38" t="s">
        <v>47</v>
      </c>
      <c r="F121" s="38" t="s">
        <v>222</v>
      </c>
      <c r="G121" s="39">
        <v>359.07120565766667</v>
      </c>
    </row>
    <row r="122" spans="2:7" x14ac:dyDescent="0.25">
      <c r="B122" s="35">
        <v>10</v>
      </c>
      <c r="C122" s="30" t="s">
        <v>248</v>
      </c>
      <c r="D122" s="36" t="s">
        <v>227</v>
      </c>
      <c r="E122" s="30" t="s">
        <v>47</v>
      </c>
      <c r="F122" s="30" t="s">
        <v>222</v>
      </c>
      <c r="G122" s="31">
        <v>339.84032124300006</v>
      </c>
    </row>
    <row r="123" spans="2:7" x14ac:dyDescent="0.25">
      <c r="B123" s="40">
        <v>11</v>
      </c>
      <c r="C123" s="38" t="s">
        <v>236</v>
      </c>
      <c r="D123" s="38" t="s">
        <v>232</v>
      </c>
      <c r="E123" s="38" t="s">
        <v>47</v>
      </c>
      <c r="F123" s="38" t="s">
        <v>222</v>
      </c>
      <c r="G123" s="39">
        <v>321.40845235866669</v>
      </c>
    </row>
    <row r="124" spans="2:7" x14ac:dyDescent="0.25">
      <c r="B124" s="35">
        <v>12</v>
      </c>
      <c r="C124" s="30" t="s">
        <v>234</v>
      </c>
      <c r="D124" s="36" t="s">
        <v>235</v>
      </c>
      <c r="E124" s="30" t="s">
        <v>47</v>
      </c>
      <c r="F124" s="30" t="s">
        <v>222</v>
      </c>
      <c r="G124" s="31">
        <v>293.08753453200006</v>
      </c>
    </row>
    <row r="125" spans="2:7" x14ac:dyDescent="0.25">
      <c r="B125" s="40">
        <v>13</v>
      </c>
      <c r="C125" s="38" t="s">
        <v>335</v>
      </c>
      <c r="D125" s="38" t="s">
        <v>227</v>
      </c>
      <c r="E125" s="38" t="s">
        <v>47</v>
      </c>
      <c r="F125" s="38" t="s">
        <v>222</v>
      </c>
      <c r="G125" s="39">
        <v>256.08080841600002</v>
      </c>
    </row>
    <row r="126" spans="2:7" x14ac:dyDescent="0.25">
      <c r="B126" s="35">
        <v>14</v>
      </c>
      <c r="C126" s="30" t="s">
        <v>245</v>
      </c>
      <c r="D126" s="36" t="s">
        <v>227</v>
      </c>
      <c r="E126" s="30" t="s">
        <v>47</v>
      </c>
      <c r="F126" s="30" t="s">
        <v>222</v>
      </c>
      <c r="G126" s="31">
        <v>240.67287051933334</v>
      </c>
    </row>
    <row r="127" spans="2:7" x14ac:dyDescent="0.25">
      <c r="B127" s="40">
        <v>15</v>
      </c>
      <c r="C127" s="38" t="s">
        <v>239</v>
      </c>
      <c r="D127" s="38" t="s">
        <v>235</v>
      </c>
      <c r="E127" s="38" t="s">
        <v>47</v>
      </c>
      <c r="F127" s="38" t="s">
        <v>222</v>
      </c>
      <c r="G127" s="39">
        <v>239.69564370566667</v>
      </c>
    </row>
    <row r="128" spans="2:7" x14ac:dyDescent="0.25">
      <c r="B128" s="35">
        <v>16</v>
      </c>
      <c r="C128" s="30" t="s">
        <v>237</v>
      </c>
      <c r="D128" s="30" t="s">
        <v>227</v>
      </c>
      <c r="E128" s="30" t="s">
        <v>47</v>
      </c>
      <c r="F128" s="30" t="s">
        <v>222</v>
      </c>
      <c r="G128" s="31">
        <v>233.97694845366669</v>
      </c>
    </row>
    <row r="129" spans="2:7" x14ac:dyDescent="0.25">
      <c r="B129" s="40">
        <v>17</v>
      </c>
      <c r="C129" s="38" t="s">
        <v>253</v>
      </c>
      <c r="D129" s="38" t="s">
        <v>227</v>
      </c>
      <c r="E129" s="38" t="s">
        <v>47</v>
      </c>
      <c r="F129" s="38" t="s">
        <v>222</v>
      </c>
      <c r="G129" s="39">
        <v>227.41017715333334</v>
      </c>
    </row>
    <row r="130" spans="2:7" x14ac:dyDescent="0.25">
      <c r="B130" s="35">
        <v>18</v>
      </c>
      <c r="C130" s="30" t="s">
        <v>238</v>
      </c>
      <c r="D130" s="30" t="s">
        <v>227</v>
      </c>
      <c r="E130" s="30" t="s">
        <v>47</v>
      </c>
      <c r="F130" s="30" t="s">
        <v>222</v>
      </c>
      <c r="G130" s="31">
        <v>221.43108376733335</v>
      </c>
    </row>
    <row r="131" spans="2:7" x14ac:dyDescent="0.25">
      <c r="B131" s="40">
        <v>19</v>
      </c>
      <c r="C131" s="38" t="s">
        <v>336</v>
      </c>
      <c r="D131" s="38" t="s">
        <v>224</v>
      </c>
      <c r="E131" s="38" t="s">
        <v>46</v>
      </c>
      <c r="F131" s="38" t="s">
        <v>222</v>
      </c>
      <c r="G131" s="39">
        <v>206.62298408433335</v>
      </c>
    </row>
    <row r="132" spans="2:7" x14ac:dyDescent="0.25">
      <c r="B132" s="35">
        <v>20</v>
      </c>
      <c r="C132" s="30" t="s">
        <v>250</v>
      </c>
      <c r="D132" s="36" t="s">
        <v>227</v>
      </c>
      <c r="E132" s="30" t="s">
        <v>47</v>
      </c>
      <c r="F132" s="30" t="s">
        <v>222</v>
      </c>
      <c r="G132" s="31">
        <v>203.91333393633334</v>
      </c>
    </row>
    <row r="133" spans="2:7" x14ac:dyDescent="0.25">
      <c r="B133" s="40">
        <v>21</v>
      </c>
      <c r="C133" s="38" t="s">
        <v>337</v>
      </c>
      <c r="D133" s="38" t="s">
        <v>235</v>
      </c>
      <c r="E133" s="38" t="s">
        <v>47</v>
      </c>
      <c r="F133" s="38" t="s">
        <v>222</v>
      </c>
      <c r="G133" s="39">
        <v>203.72401065533333</v>
      </c>
    </row>
    <row r="134" spans="2:7" x14ac:dyDescent="0.25">
      <c r="B134" s="35">
        <v>22</v>
      </c>
      <c r="C134" s="30" t="s">
        <v>246</v>
      </c>
      <c r="D134" s="36" t="s">
        <v>227</v>
      </c>
      <c r="E134" s="30" t="s">
        <v>47</v>
      </c>
      <c r="F134" s="30" t="s">
        <v>222</v>
      </c>
      <c r="G134" s="31">
        <v>199.64506887033335</v>
      </c>
    </row>
    <row r="135" spans="2:7" x14ac:dyDescent="0.25">
      <c r="B135" s="40">
        <v>23</v>
      </c>
      <c r="C135" s="38" t="s">
        <v>251</v>
      </c>
      <c r="D135" s="38" t="s">
        <v>227</v>
      </c>
      <c r="E135" s="38" t="s">
        <v>47</v>
      </c>
      <c r="F135" s="38" t="s">
        <v>222</v>
      </c>
      <c r="G135" s="39">
        <v>199.55281832366668</v>
      </c>
    </row>
    <row r="136" spans="2:7" x14ac:dyDescent="0.25">
      <c r="B136" s="35">
        <v>24</v>
      </c>
      <c r="C136" s="30" t="s">
        <v>338</v>
      </c>
      <c r="D136" s="30" t="s">
        <v>227</v>
      </c>
      <c r="E136" s="30" t="s">
        <v>47</v>
      </c>
      <c r="F136" s="30" t="s">
        <v>222</v>
      </c>
      <c r="G136" s="31">
        <v>198.77959101433333</v>
      </c>
    </row>
    <row r="137" spans="2:7" x14ac:dyDescent="0.25">
      <c r="B137" s="40">
        <v>25</v>
      </c>
      <c r="C137" s="38" t="s">
        <v>339</v>
      </c>
      <c r="D137" s="38" t="s">
        <v>235</v>
      </c>
      <c r="E137" s="38" t="s">
        <v>47</v>
      </c>
      <c r="F137" s="38" t="s">
        <v>222</v>
      </c>
      <c r="G137" s="39">
        <v>198.08917953666668</v>
      </c>
    </row>
    <row r="138" spans="2:7" x14ac:dyDescent="0.25">
      <c r="B138" s="35">
        <v>26</v>
      </c>
      <c r="C138" s="30" t="s">
        <v>340</v>
      </c>
      <c r="D138" s="30" t="s">
        <v>235</v>
      </c>
      <c r="E138" s="30" t="s">
        <v>47</v>
      </c>
      <c r="F138" s="30" t="s">
        <v>222</v>
      </c>
      <c r="G138" s="31">
        <v>192.77198382300003</v>
      </c>
    </row>
    <row r="139" spans="2:7" x14ac:dyDescent="0.25">
      <c r="B139" s="40">
        <v>27</v>
      </c>
      <c r="C139" s="38" t="s">
        <v>242</v>
      </c>
      <c r="D139" s="38" t="s">
        <v>227</v>
      </c>
      <c r="E139" s="38" t="s">
        <v>47</v>
      </c>
      <c r="F139" s="38" t="s">
        <v>222</v>
      </c>
      <c r="G139" s="39">
        <v>185.65632177000001</v>
      </c>
    </row>
    <row r="140" spans="2:7" x14ac:dyDescent="0.25">
      <c r="B140" s="35">
        <v>28</v>
      </c>
      <c r="C140" s="30" t="s">
        <v>244</v>
      </c>
      <c r="D140" s="36" t="s">
        <v>224</v>
      </c>
      <c r="E140" s="30" t="s">
        <v>46</v>
      </c>
      <c r="F140" s="30" t="s">
        <v>222</v>
      </c>
      <c r="G140" s="31">
        <v>185.64982229966668</v>
      </c>
    </row>
    <row r="141" spans="2:7" x14ac:dyDescent="0.25">
      <c r="B141" s="40">
        <v>29</v>
      </c>
      <c r="C141" s="38" t="s">
        <v>261</v>
      </c>
      <c r="D141" s="38" t="s">
        <v>235</v>
      </c>
      <c r="E141" s="38" t="s">
        <v>47</v>
      </c>
      <c r="F141" s="38" t="s">
        <v>222</v>
      </c>
      <c r="G141" s="39">
        <v>183.12739882933334</v>
      </c>
    </row>
    <row r="142" spans="2:7" ht="15.75" thickBot="1" x14ac:dyDescent="0.3">
      <c r="B142" s="34">
        <v>30</v>
      </c>
      <c r="C142" s="32" t="s">
        <v>247</v>
      </c>
      <c r="D142" s="32" t="s">
        <v>227</v>
      </c>
      <c r="E142" s="32" t="s">
        <v>47</v>
      </c>
      <c r="F142" s="32" t="s">
        <v>222</v>
      </c>
      <c r="G142" s="33">
        <v>183.08693438500001</v>
      </c>
    </row>
    <row r="145" spans="2:7" ht="26.25" x14ac:dyDescent="0.4">
      <c r="B145" s="2" t="s">
        <v>254</v>
      </c>
    </row>
    <row r="147" spans="2:7" ht="25.5" customHeight="1" x14ac:dyDescent="0.25">
      <c r="B147" s="48" t="s">
        <v>52</v>
      </c>
      <c r="C147" s="48" t="s">
        <v>173</v>
      </c>
      <c r="D147" s="48" t="s">
        <v>135</v>
      </c>
      <c r="E147" s="48" t="s">
        <v>42</v>
      </c>
      <c r="F147" s="48" t="s">
        <v>174</v>
      </c>
      <c r="G147" s="48" t="s">
        <v>211</v>
      </c>
    </row>
    <row r="148" spans="2:7" x14ac:dyDescent="0.25">
      <c r="B148" s="40">
        <v>1</v>
      </c>
      <c r="C148" s="38" t="s">
        <v>226</v>
      </c>
      <c r="D148" s="38" t="s">
        <v>227</v>
      </c>
      <c r="E148" s="38" t="s">
        <v>47</v>
      </c>
      <c r="F148" s="38" t="s">
        <v>222</v>
      </c>
      <c r="G148" s="39">
        <v>497.96053333333327</v>
      </c>
    </row>
    <row r="149" spans="2:7" x14ac:dyDescent="0.25">
      <c r="B149" s="35">
        <v>2</v>
      </c>
      <c r="C149" s="36" t="s">
        <v>220</v>
      </c>
      <c r="D149" s="36" t="s">
        <v>221</v>
      </c>
      <c r="E149" s="36" t="s">
        <v>47</v>
      </c>
      <c r="F149" s="36" t="s">
        <v>222</v>
      </c>
      <c r="G149" s="37">
        <v>440.42500000000001</v>
      </c>
    </row>
    <row r="150" spans="2:7" x14ac:dyDescent="0.25">
      <c r="B150" s="40">
        <v>3</v>
      </c>
      <c r="C150" s="38" t="s">
        <v>231</v>
      </c>
      <c r="D150" s="38" t="s">
        <v>232</v>
      </c>
      <c r="E150" s="38" t="s">
        <v>47</v>
      </c>
      <c r="F150" s="38" t="s">
        <v>222</v>
      </c>
      <c r="G150" s="39">
        <v>421.63326666666666</v>
      </c>
    </row>
    <row r="151" spans="2:7" x14ac:dyDescent="0.25">
      <c r="B151" s="35">
        <v>4</v>
      </c>
      <c r="C151" s="36" t="s">
        <v>236</v>
      </c>
      <c r="D151" s="36" t="s">
        <v>232</v>
      </c>
      <c r="E151" s="36" t="s">
        <v>47</v>
      </c>
      <c r="F151" s="36" t="s">
        <v>222</v>
      </c>
      <c r="G151" s="37">
        <v>403.61599999999999</v>
      </c>
    </row>
    <row r="152" spans="2:7" x14ac:dyDescent="0.25">
      <c r="B152" s="40">
        <v>5</v>
      </c>
      <c r="C152" s="38" t="s">
        <v>237</v>
      </c>
      <c r="D152" s="38" t="s">
        <v>227</v>
      </c>
      <c r="E152" s="38" t="s">
        <v>47</v>
      </c>
      <c r="F152" s="38" t="s">
        <v>222</v>
      </c>
      <c r="G152" s="39">
        <v>396.46846666666664</v>
      </c>
    </row>
    <row r="153" spans="2:7" x14ac:dyDescent="0.25">
      <c r="B153" s="35">
        <v>6</v>
      </c>
      <c r="C153" s="36" t="s">
        <v>233</v>
      </c>
      <c r="D153" s="36" t="s">
        <v>227</v>
      </c>
      <c r="E153" s="36" t="s">
        <v>47</v>
      </c>
      <c r="F153" s="36" t="s">
        <v>222</v>
      </c>
      <c r="G153" s="37">
        <v>364.06813333333332</v>
      </c>
    </row>
    <row r="154" spans="2:7" x14ac:dyDescent="0.25">
      <c r="B154" s="40">
        <v>7</v>
      </c>
      <c r="C154" s="38" t="s">
        <v>234</v>
      </c>
      <c r="D154" s="38" t="s">
        <v>235</v>
      </c>
      <c r="E154" s="38" t="s">
        <v>47</v>
      </c>
      <c r="F154" s="38" t="s">
        <v>222</v>
      </c>
      <c r="G154" s="39">
        <v>355.22896666666668</v>
      </c>
    </row>
    <row r="155" spans="2:7" x14ac:dyDescent="0.25">
      <c r="B155" s="35">
        <v>8</v>
      </c>
      <c r="C155" s="36" t="s">
        <v>238</v>
      </c>
      <c r="D155" s="36" t="s">
        <v>227</v>
      </c>
      <c r="E155" s="36" t="s">
        <v>47</v>
      </c>
      <c r="F155" s="36" t="s">
        <v>222</v>
      </c>
      <c r="G155" s="37">
        <v>346.26253333333335</v>
      </c>
    </row>
    <row r="156" spans="2:7" x14ac:dyDescent="0.25">
      <c r="B156" s="40">
        <v>9</v>
      </c>
      <c r="C156" s="38" t="s">
        <v>255</v>
      </c>
      <c r="D156" s="38" t="s">
        <v>235</v>
      </c>
      <c r="E156" s="38" t="s">
        <v>47</v>
      </c>
      <c r="F156" s="38" t="s">
        <v>222</v>
      </c>
      <c r="G156" s="39">
        <v>344.38289999999995</v>
      </c>
    </row>
    <row r="157" spans="2:7" x14ac:dyDescent="0.25">
      <c r="B157" s="35">
        <v>10</v>
      </c>
      <c r="C157" s="36" t="s">
        <v>249</v>
      </c>
      <c r="D157" s="36" t="s">
        <v>235</v>
      </c>
      <c r="E157" s="36" t="s">
        <v>47</v>
      </c>
      <c r="F157" s="36" t="s">
        <v>222</v>
      </c>
      <c r="G157" s="37">
        <v>342.59800000000001</v>
      </c>
    </row>
    <row r="158" spans="2:7" x14ac:dyDescent="0.25">
      <c r="B158" s="40">
        <v>11</v>
      </c>
      <c r="C158" s="38" t="s">
        <v>241</v>
      </c>
      <c r="D158" s="38" t="s">
        <v>227</v>
      </c>
      <c r="E158" s="38" t="s">
        <v>47</v>
      </c>
      <c r="F158" s="38" t="s">
        <v>222</v>
      </c>
      <c r="G158" s="39">
        <v>313.90719999999999</v>
      </c>
    </row>
    <row r="159" spans="2:7" x14ac:dyDescent="0.25">
      <c r="B159" s="35">
        <v>12</v>
      </c>
      <c r="C159" s="36" t="s">
        <v>246</v>
      </c>
      <c r="D159" s="36" t="s">
        <v>227</v>
      </c>
      <c r="E159" s="36" t="s">
        <v>47</v>
      </c>
      <c r="F159" s="36" t="s">
        <v>222</v>
      </c>
      <c r="G159" s="37">
        <v>310.74439999999998</v>
      </c>
    </row>
    <row r="160" spans="2:7" x14ac:dyDescent="0.25">
      <c r="B160" s="40">
        <v>13</v>
      </c>
      <c r="C160" s="38" t="s">
        <v>259</v>
      </c>
      <c r="D160" s="38" t="s">
        <v>235</v>
      </c>
      <c r="E160" s="38" t="s">
        <v>47</v>
      </c>
      <c r="F160" s="38" t="s">
        <v>222</v>
      </c>
      <c r="G160" s="39">
        <v>309.39506666666671</v>
      </c>
    </row>
    <row r="161" spans="2:7" x14ac:dyDescent="0.25">
      <c r="B161" s="35">
        <v>14</v>
      </c>
      <c r="C161" s="36" t="s">
        <v>256</v>
      </c>
      <c r="D161" s="36" t="s">
        <v>235</v>
      </c>
      <c r="E161" s="36" t="s">
        <v>47</v>
      </c>
      <c r="F161" s="36" t="s">
        <v>222</v>
      </c>
      <c r="G161" s="37">
        <v>297.96786666666668</v>
      </c>
    </row>
    <row r="162" spans="2:7" x14ac:dyDescent="0.25">
      <c r="B162" s="40">
        <v>15</v>
      </c>
      <c r="C162" s="38" t="s">
        <v>248</v>
      </c>
      <c r="D162" s="38" t="s">
        <v>227</v>
      </c>
      <c r="E162" s="38" t="s">
        <v>47</v>
      </c>
      <c r="F162" s="38" t="s">
        <v>222</v>
      </c>
      <c r="G162" s="39">
        <v>290.43526666666668</v>
      </c>
    </row>
    <row r="163" spans="2:7" x14ac:dyDescent="0.25">
      <c r="B163" s="35">
        <v>16</v>
      </c>
      <c r="C163" s="36" t="s">
        <v>250</v>
      </c>
      <c r="D163" s="36" t="s">
        <v>227</v>
      </c>
      <c r="E163" s="36" t="s">
        <v>47</v>
      </c>
      <c r="F163" s="36" t="s">
        <v>222</v>
      </c>
      <c r="G163" s="37">
        <v>278.89516666666663</v>
      </c>
    </row>
    <row r="164" spans="2:7" x14ac:dyDescent="0.25">
      <c r="B164" s="40">
        <v>17</v>
      </c>
      <c r="C164" s="38" t="s">
        <v>252</v>
      </c>
      <c r="D164" s="38" t="s">
        <v>227</v>
      </c>
      <c r="E164" s="38" t="s">
        <v>47</v>
      </c>
      <c r="F164" s="38" t="s">
        <v>222</v>
      </c>
      <c r="G164" s="39">
        <v>274.48716666666667</v>
      </c>
    </row>
    <row r="165" spans="2:7" x14ac:dyDescent="0.25">
      <c r="B165" s="35">
        <v>18</v>
      </c>
      <c r="C165" s="36" t="s">
        <v>261</v>
      </c>
      <c r="D165" s="36" t="s">
        <v>235</v>
      </c>
      <c r="E165" s="36" t="s">
        <v>47</v>
      </c>
      <c r="F165" s="36" t="s">
        <v>222</v>
      </c>
      <c r="G165" s="37">
        <v>266.61043333333333</v>
      </c>
    </row>
    <row r="166" spans="2:7" x14ac:dyDescent="0.25">
      <c r="B166" s="40">
        <v>19</v>
      </c>
      <c r="C166" s="38" t="s">
        <v>337</v>
      </c>
      <c r="D166" s="38" t="s">
        <v>235</v>
      </c>
      <c r="E166" s="38" t="s">
        <v>47</v>
      </c>
      <c r="F166" s="38" t="s">
        <v>222</v>
      </c>
      <c r="G166" s="39">
        <v>261.12023333333332</v>
      </c>
    </row>
    <row r="167" spans="2:7" x14ac:dyDescent="0.25">
      <c r="B167" s="35">
        <v>20</v>
      </c>
      <c r="C167" s="36" t="s">
        <v>247</v>
      </c>
      <c r="D167" s="36" t="s">
        <v>227</v>
      </c>
      <c r="E167" s="36" t="s">
        <v>47</v>
      </c>
      <c r="F167" s="36" t="s">
        <v>222</v>
      </c>
      <c r="G167" s="37">
        <v>255.17480000000003</v>
      </c>
    </row>
    <row r="168" spans="2:7" x14ac:dyDescent="0.25">
      <c r="B168" s="40">
        <v>21</v>
      </c>
      <c r="C168" s="38" t="s">
        <v>262</v>
      </c>
      <c r="D168" s="38" t="s">
        <v>227</v>
      </c>
      <c r="E168" s="38" t="s">
        <v>47</v>
      </c>
      <c r="F168" s="38" t="s">
        <v>222</v>
      </c>
      <c r="G168" s="39">
        <v>253.49806666666666</v>
      </c>
    </row>
    <row r="169" spans="2:7" x14ac:dyDescent="0.25">
      <c r="B169" s="35">
        <v>22</v>
      </c>
      <c r="C169" s="36" t="s">
        <v>230</v>
      </c>
      <c r="D169" s="36" t="s">
        <v>227</v>
      </c>
      <c r="E169" s="36" t="s">
        <v>47</v>
      </c>
      <c r="F169" s="36" t="s">
        <v>222</v>
      </c>
      <c r="G169" s="37">
        <v>252.00040000000001</v>
      </c>
    </row>
    <row r="170" spans="2:7" x14ac:dyDescent="0.25">
      <c r="B170" s="40">
        <v>23</v>
      </c>
      <c r="C170" s="38" t="s">
        <v>335</v>
      </c>
      <c r="D170" s="38" t="s">
        <v>227</v>
      </c>
      <c r="E170" s="38" t="s">
        <v>47</v>
      </c>
      <c r="F170" s="38" t="s">
        <v>222</v>
      </c>
      <c r="G170" s="39">
        <v>251.75866666666667</v>
      </c>
    </row>
    <row r="171" spans="2:7" x14ac:dyDescent="0.25">
      <c r="B171" s="35">
        <v>24</v>
      </c>
      <c r="C171" s="36" t="s">
        <v>341</v>
      </c>
      <c r="D171" s="36" t="s">
        <v>257</v>
      </c>
      <c r="E171" s="36" t="s">
        <v>35</v>
      </c>
      <c r="F171" s="36" t="s">
        <v>222</v>
      </c>
      <c r="G171" s="37">
        <v>247.22453333333337</v>
      </c>
    </row>
    <row r="172" spans="2:7" x14ac:dyDescent="0.25">
      <c r="B172" s="40">
        <v>25</v>
      </c>
      <c r="C172" s="38" t="s">
        <v>240</v>
      </c>
      <c r="D172" s="38" t="s">
        <v>227</v>
      </c>
      <c r="E172" s="38" t="s">
        <v>47</v>
      </c>
      <c r="F172" s="38" t="s">
        <v>222</v>
      </c>
      <c r="G172" s="39">
        <v>244.53966666666668</v>
      </c>
    </row>
    <row r="173" spans="2:7" x14ac:dyDescent="0.25">
      <c r="B173" s="35">
        <v>26</v>
      </c>
      <c r="C173" s="36" t="s">
        <v>260</v>
      </c>
      <c r="D173" s="36" t="s">
        <v>235</v>
      </c>
      <c r="E173" s="36" t="s">
        <v>47</v>
      </c>
      <c r="F173" s="36" t="s">
        <v>222</v>
      </c>
      <c r="G173" s="37">
        <v>231.28973333333334</v>
      </c>
    </row>
    <row r="174" spans="2:7" x14ac:dyDescent="0.25">
      <c r="B174" s="40">
        <v>27</v>
      </c>
      <c r="C174" s="38" t="s">
        <v>258</v>
      </c>
      <c r="D174" s="38" t="s">
        <v>235</v>
      </c>
      <c r="E174" s="38" t="s">
        <v>47</v>
      </c>
      <c r="F174" s="38" t="s">
        <v>222</v>
      </c>
      <c r="G174" s="39">
        <v>223.71700000000001</v>
      </c>
    </row>
    <row r="175" spans="2:7" x14ac:dyDescent="0.25">
      <c r="B175" s="35">
        <v>28</v>
      </c>
      <c r="C175" s="36" t="s">
        <v>243</v>
      </c>
      <c r="D175" s="36" t="s">
        <v>227</v>
      </c>
      <c r="E175" s="36" t="s">
        <v>47</v>
      </c>
      <c r="F175" s="36" t="s">
        <v>222</v>
      </c>
      <c r="G175" s="37">
        <v>222.39040000000003</v>
      </c>
    </row>
    <row r="176" spans="2:7" x14ac:dyDescent="0.25">
      <c r="B176" s="40">
        <v>29</v>
      </c>
      <c r="C176" s="38" t="s">
        <v>263</v>
      </c>
      <c r="D176" s="38" t="s">
        <v>235</v>
      </c>
      <c r="E176" s="38" t="s">
        <v>47</v>
      </c>
      <c r="F176" s="38" t="s">
        <v>222</v>
      </c>
      <c r="G176" s="39">
        <v>216.35136666666668</v>
      </c>
    </row>
    <row r="177" spans="2:7" x14ac:dyDescent="0.25">
      <c r="B177" s="41">
        <v>30</v>
      </c>
      <c r="C177" s="44" t="s">
        <v>342</v>
      </c>
      <c r="D177" s="44" t="s">
        <v>235</v>
      </c>
      <c r="E177" s="44" t="s">
        <v>47</v>
      </c>
      <c r="F177" s="44" t="s">
        <v>222</v>
      </c>
      <c r="G177" s="45">
        <v>212.93453333333335</v>
      </c>
    </row>
    <row r="180" spans="2:7" ht="26.25" x14ac:dyDescent="0.4">
      <c r="B180" s="2" t="s">
        <v>264</v>
      </c>
    </row>
    <row r="182" spans="2:7" ht="25.5" customHeight="1" x14ac:dyDescent="0.25">
      <c r="B182" s="48" t="s">
        <v>52</v>
      </c>
      <c r="C182" s="48" t="s">
        <v>265</v>
      </c>
      <c r="D182" s="48" t="s">
        <v>26</v>
      </c>
      <c r="E182" s="48" t="s">
        <v>266</v>
      </c>
      <c r="F182" s="48" t="s">
        <v>267</v>
      </c>
    </row>
    <row r="183" spans="2:7" x14ac:dyDescent="0.25">
      <c r="B183" s="40">
        <v>1</v>
      </c>
      <c r="C183" s="38" t="s">
        <v>268</v>
      </c>
      <c r="D183" s="39">
        <v>178381.23064496799</v>
      </c>
      <c r="E183" s="38">
        <v>6</v>
      </c>
      <c r="F183" s="38" t="s">
        <v>176</v>
      </c>
    </row>
    <row r="184" spans="2:7" x14ac:dyDescent="0.25">
      <c r="B184" s="35">
        <v>2</v>
      </c>
      <c r="C184" s="30" t="s">
        <v>269</v>
      </c>
      <c r="D184" s="31">
        <v>159663.78698482699</v>
      </c>
      <c r="E184" s="30">
        <v>5</v>
      </c>
      <c r="F184" s="30" t="s">
        <v>183</v>
      </c>
    </row>
    <row r="185" spans="2:7" x14ac:dyDescent="0.25">
      <c r="B185" s="40">
        <v>3</v>
      </c>
      <c r="C185" s="38" t="s">
        <v>270</v>
      </c>
      <c r="D185" s="39">
        <v>158384.97657094063</v>
      </c>
      <c r="E185" s="38">
        <v>4</v>
      </c>
      <c r="F185" s="38" t="s">
        <v>179</v>
      </c>
    </row>
    <row r="186" spans="2:7" ht="36" x14ac:dyDescent="0.25">
      <c r="B186" s="35">
        <v>4</v>
      </c>
      <c r="C186" s="30" t="s">
        <v>275</v>
      </c>
      <c r="D186" s="31">
        <v>154823.99225302736</v>
      </c>
      <c r="E186" s="30">
        <v>5</v>
      </c>
      <c r="F186" s="30" t="s">
        <v>193</v>
      </c>
    </row>
    <row r="187" spans="2:7" x14ac:dyDescent="0.25">
      <c r="B187" s="40">
        <v>5</v>
      </c>
      <c r="C187" s="38" t="s">
        <v>273</v>
      </c>
      <c r="D187" s="39">
        <v>144888.32365829466</v>
      </c>
      <c r="E187" s="38">
        <v>4</v>
      </c>
      <c r="F187" s="38" t="s">
        <v>183</v>
      </c>
    </row>
    <row r="188" spans="2:7" x14ac:dyDescent="0.25">
      <c r="B188" s="35">
        <v>6</v>
      </c>
      <c r="C188" s="30" t="s">
        <v>272</v>
      </c>
      <c r="D188" s="31">
        <v>149722.39487265467</v>
      </c>
      <c r="E188" s="30">
        <v>3</v>
      </c>
      <c r="F188" s="30" t="s">
        <v>183</v>
      </c>
    </row>
    <row r="189" spans="2:7" x14ac:dyDescent="0.25">
      <c r="B189" s="40">
        <v>7</v>
      </c>
      <c r="C189" s="38" t="s">
        <v>274</v>
      </c>
      <c r="D189" s="39">
        <v>136105.33843344232</v>
      </c>
      <c r="E189" s="38">
        <v>5</v>
      </c>
      <c r="F189" s="38" t="s">
        <v>183</v>
      </c>
    </row>
    <row r="190" spans="2:7" ht="24" x14ac:dyDescent="0.25">
      <c r="B190" s="35">
        <v>8</v>
      </c>
      <c r="C190" s="30" t="s">
        <v>276</v>
      </c>
      <c r="D190" s="31">
        <v>139890.20287747669</v>
      </c>
      <c r="E190" s="30">
        <v>10</v>
      </c>
      <c r="F190" s="30" t="s">
        <v>277</v>
      </c>
    </row>
    <row r="191" spans="2:7" x14ac:dyDescent="0.25">
      <c r="B191" s="40">
        <v>9</v>
      </c>
      <c r="C191" s="38" t="s">
        <v>271</v>
      </c>
      <c r="D191" s="39">
        <v>151220.50705996301</v>
      </c>
      <c r="E191" s="38">
        <v>4</v>
      </c>
      <c r="F191" s="38" t="s">
        <v>189</v>
      </c>
    </row>
    <row r="192" spans="2:7" x14ac:dyDescent="0.25">
      <c r="B192" s="35">
        <v>10</v>
      </c>
      <c r="C192" s="30" t="s">
        <v>279</v>
      </c>
      <c r="D192" s="31">
        <v>112224.90989563032</v>
      </c>
      <c r="E192" s="30">
        <v>8</v>
      </c>
      <c r="F192" s="30" t="s">
        <v>209</v>
      </c>
    </row>
    <row r="193" spans="2:6" x14ac:dyDescent="0.25">
      <c r="B193" s="40">
        <v>11</v>
      </c>
      <c r="C193" s="38" t="s">
        <v>280</v>
      </c>
      <c r="D193" s="39">
        <v>107969.70813601933</v>
      </c>
      <c r="E193" s="38">
        <v>7</v>
      </c>
      <c r="F193" s="38" t="s">
        <v>209</v>
      </c>
    </row>
    <row r="194" spans="2:6" x14ac:dyDescent="0.25">
      <c r="B194" s="35">
        <v>12</v>
      </c>
      <c r="C194" s="30" t="s">
        <v>278</v>
      </c>
      <c r="D194" s="31">
        <v>116639.68455426203</v>
      </c>
      <c r="E194" s="30">
        <v>6</v>
      </c>
      <c r="F194" s="30" t="s">
        <v>209</v>
      </c>
    </row>
    <row r="195" spans="2:6" x14ac:dyDescent="0.25">
      <c r="B195" s="40">
        <v>13</v>
      </c>
      <c r="C195" s="38" t="s">
        <v>282</v>
      </c>
      <c r="D195" s="39">
        <v>99128.973439972659</v>
      </c>
      <c r="E195" s="38">
        <v>8</v>
      </c>
      <c r="F195" s="38" t="s">
        <v>142</v>
      </c>
    </row>
    <row r="196" spans="2:6" x14ac:dyDescent="0.25">
      <c r="B196" s="35">
        <v>14</v>
      </c>
      <c r="C196" s="30" t="s">
        <v>284</v>
      </c>
      <c r="D196" s="31">
        <v>97002.065173078328</v>
      </c>
      <c r="E196" s="30">
        <v>8</v>
      </c>
      <c r="F196" s="30" t="s">
        <v>142</v>
      </c>
    </row>
    <row r="197" spans="2:6" x14ac:dyDescent="0.25">
      <c r="B197" s="40">
        <v>15</v>
      </c>
      <c r="C197" s="38" t="s">
        <v>281</v>
      </c>
      <c r="D197" s="39">
        <v>104096.73498520335</v>
      </c>
      <c r="E197" s="38">
        <v>7</v>
      </c>
      <c r="F197" s="38" t="s">
        <v>209</v>
      </c>
    </row>
    <row r="198" spans="2:6" x14ac:dyDescent="0.25">
      <c r="B198" s="35">
        <v>16</v>
      </c>
      <c r="C198" s="30" t="s">
        <v>286</v>
      </c>
      <c r="D198" s="31">
        <v>104375.86941489165</v>
      </c>
      <c r="E198" s="30">
        <v>5</v>
      </c>
      <c r="F198" s="30" t="s">
        <v>183</v>
      </c>
    </row>
    <row r="199" spans="2:6" x14ac:dyDescent="0.25">
      <c r="B199" s="40">
        <v>17</v>
      </c>
      <c r="C199" s="38" t="s">
        <v>283</v>
      </c>
      <c r="D199" s="39">
        <v>89224.550734376986</v>
      </c>
      <c r="E199" s="38">
        <v>8</v>
      </c>
      <c r="F199" s="38" t="s">
        <v>209</v>
      </c>
    </row>
    <row r="200" spans="2:6" x14ac:dyDescent="0.25">
      <c r="B200" s="35">
        <v>18</v>
      </c>
      <c r="C200" s="30" t="s">
        <v>300</v>
      </c>
      <c r="D200" s="31">
        <v>81994.400930775999</v>
      </c>
      <c r="E200" s="30">
        <v>6</v>
      </c>
      <c r="F200" s="30" t="s">
        <v>209</v>
      </c>
    </row>
    <row r="201" spans="2:6" ht="48" x14ac:dyDescent="0.25">
      <c r="B201" s="40">
        <v>19</v>
      </c>
      <c r="C201" s="38" t="s">
        <v>285</v>
      </c>
      <c r="D201" s="39">
        <v>76010.544062002708</v>
      </c>
      <c r="E201" s="38">
        <v>7</v>
      </c>
      <c r="F201" s="38" t="s">
        <v>213</v>
      </c>
    </row>
    <row r="202" spans="2:6" x14ac:dyDescent="0.25">
      <c r="B202" s="35">
        <v>20</v>
      </c>
      <c r="C202" s="30" t="s">
        <v>288</v>
      </c>
      <c r="D202" s="31">
        <v>79875.365828719005</v>
      </c>
      <c r="E202" s="30">
        <v>15</v>
      </c>
      <c r="F202" s="30" t="s">
        <v>151</v>
      </c>
    </row>
    <row r="203" spans="2:6" ht="48" x14ac:dyDescent="0.25">
      <c r="B203" s="40">
        <v>21</v>
      </c>
      <c r="C203" s="38" t="s">
        <v>287</v>
      </c>
      <c r="D203" s="39">
        <v>71787.533340311333</v>
      </c>
      <c r="E203" s="38">
        <v>6</v>
      </c>
      <c r="F203" s="38" t="s">
        <v>213</v>
      </c>
    </row>
    <row r="204" spans="2:6" x14ac:dyDescent="0.25">
      <c r="B204" s="35">
        <v>22</v>
      </c>
      <c r="C204" s="30" t="s">
        <v>291</v>
      </c>
      <c r="D204" s="31">
        <v>53206.685274280004</v>
      </c>
      <c r="E204" s="30">
        <v>3</v>
      </c>
      <c r="F204" s="30" t="s">
        <v>152</v>
      </c>
    </row>
    <row r="205" spans="2:6" x14ac:dyDescent="0.25">
      <c r="B205" s="40">
        <v>23</v>
      </c>
      <c r="C205" s="38" t="s">
        <v>297</v>
      </c>
      <c r="D205" s="39">
        <v>45201.695663721992</v>
      </c>
      <c r="E205" s="38">
        <v>2</v>
      </c>
      <c r="F205" s="38" t="s">
        <v>176</v>
      </c>
    </row>
    <row r="206" spans="2:6" ht="24" x14ac:dyDescent="0.25">
      <c r="B206" s="35">
        <v>24</v>
      </c>
      <c r="C206" s="30" t="s">
        <v>289</v>
      </c>
      <c r="D206" s="31">
        <v>58572.402678890008</v>
      </c>
      <c r="E206" s="30">
        <v>12</v>
      </c>
      <c r="F206" s="30" t="s">
        <v>290</v>
      </c>
    </row>
    <row r="207" spans="2:6" x14ac:dyDescent="0.25">
      <c r="B207" s="40">
        <v>25</v>
      </c>
      <c r="C207" s="38" t="s">
        <v>298</v>
      </c>
      <c r="D207" s="39">
        <v>50016.181458043669</v>
      </c>
      <c r="E207" s="38">
        <v>15</v>
      </c>
      <c r="F207" s="38" t="s">
        <v>299</v>
      </c>
    </row>
    <row r="208" spans="2:6" ht="24" x14ac:dyDescent="0.25">
      <c r="B208" s="35">
        <v>26</v>
      </c>
      <c r="C208" s="30" t="s">
        <v>301</v>
      </c>
      <c r="D208" s="31">
        <v>5954.7880925376658</v>
      </c>
      <c r="E208" s="30">
        <v>37</v>
      </c>
      <c r="F208" s="30" t="s">
        <v>302</v>
      </c>
    </row>
    <row r="209" spans="2:17" x14ac:dyDescent="0.25">
      <c r="B209" s="40">
        <v>27</v>
      </c>
      <c r="C209" s="38" t="s">
        <v>292</v>
      </c>
      <c r="D209" s="39">
        <v>44646.421592546663</v>
      </c>
      <c r="E209" s="38">
        <v>11</v>
      </c>
      <c r="F209" s="38" t="s">
        <v>293</v>
      </c>
    </row>
    <row r="210" spans="2:17" x14ac:dyDescent="0.25">
      <c r="B210" s="35">
        <v>28</v>
      </c>
      <c r="C210" s="30" t="s">
        <v>294</v>
      </c>
      <c r="D210" s="31">
        <v>41715.512491913003</v>
      </c>
      <c r="E210" s="30">
        <v>7</v>
      </c>
      <c r="F210" s="30" t="s">
        <v>295</v>
      </c>
    </row>
    <row r="211" spans="2:17" x14ac:dyDescent="0.25">
      <c r="B211" s="40">
        <v>29</v>
      </c>
      <c r="C211" s="38" t="s">
        <v>296</v>
      </c>
      <c r="D211" s="39">
        <v>29529.873191372331</v>
      </c>
      <c r="E211" s="38">
        <v>5</v>
      </c>
      <c r="F211" s="38" t="s">
        <v>209</v>
      </c>
    </row>
    <row r="212" spans="2:17" x14ac:dyDescent="0.25">
      <c r="B212" s="41">
        <v>30</v>
      </c>
      <c r="C212" s="42" t="s">
        <v>343</v>
      </c>
      <c r="D212" s="43">
        <v>35406.632626634346</v>
      </c>
      <c r="E212" s="42">
        <v>14</v>
      </c>
      <c r="F212" s="42" t="s">
        <v>344</v>
      </c>
    </row>
    <row r="213" spans="2:17" s="11" customFormat="1" x14ac:dyDescent="0.25"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5" spans="2:17" ht="26.25" x14ac:dyDescent="0.4">
      <c r="B215" s="2" t="s">
        <v>303</v>
      </c>
    </row>
    <row r="217" spans="2:17" ht="25.5" customHeight="1" x14ac:dyDescent="0.25">
      <c r="B217" s="48" t="s">
        <v>52</v>
      </c>
      <c r="C217" s="48" t="s">
        <v>265</v>
      </c>
      <c r="D217" s="48" t="s">
        <v>304</v>
      </c>
      <c r="E217" s="48" t="s">
        <v>266</v>
      </c>
      <c r="F217" s="48" t="s">
        <v>267</v>
      </c>
    </row>
    <row r="218" spans="2:17" x14ac:dyDescent="0.25">
      <c r="B218" s="40">
        <v>1</v>
      </c>
      <c r="C218" s="38" t="s">
        <v>268</v>
      </c>
      <c r="D218" s="39">
        <v>11644.448166666669</v>
      </c>
      <c r="E218" s="38">
        <v>6</v>
      </c>
      <c r="F218" s="38" t="s">
        <v>176</v>
      </c>
    </row>
    <row r="219" spans="2:17" x14ac:dyDescent="0.25">
      <c r="B219" s="35">
        <v>2</v>
      </c>
      <c r="C219" s="30" t="s">
        <v>269</v>
      </c>
      <c r="D219" s="31">
        <v>6413.5485333333318</v>
      </c>
      <c r="E219" s="30">
        <v>5</v>
      </c>
      <c r="F219" s="30" t="s">
        <v>183</v>
      </c>
    </row>
    <row r="220" spans="2:17" x14ac:dyDescent="0.25">
      <c r="B220" s="40">
        <v>3</v>
      </c>
      <c r="C220" s="38" t="s">
        <v>270</v>
      </c>
      <c r="D220" s="39">
        <v>5797.6901333333335</v>
      </c>
      <c r="E220" s="38">
        <v>4</v>
      </c>
      <c r="F220" s="38" t="s">
        <v>179</v>
      </c>
    </row>
    <row r="221" spans="2:17" ht="36" x14ac:dyDescent="0.25">
      <c r="B221" s="35">
        <v>4</v>
      </c>
      <c r="C221" s="30" t="s">
        <v>275</v>
      </c>
      <c r="D221" s="31">
        <v>5977.3638666666666</v>
      </c>
      <c r="E221" s="30">
        <v>5</v>
      </c>
      <c r="F221" s="30" t="s">
        <v>193</v>
      </c>
    </row>
    <row r="222" spans="2:17" x14ac:dyDescent="0.25">
      <c r="B222" s="40">
        <v>5</v>
      </c>
      <c r="C222" s="38" t="s">
        <v>273</v>
      </c>
      <c r="D222" s="39">
        <v>7083.0460333333331</v>
      </c>
      <c r="E222" s="38">
        <v>4</v>
      </c>
      <c r="F222" s="38" t="s">
        <v>183</v>
      </c>
    </row>
    <row r="223" spans="2:17" x14ac:dyDescent="0.25">
      <c r="B223" s="35">
        <v>6</v>
      </c>
      <c r="C223" s="30" t="s">
        <v>272</v>
      </c>
      <c r="D223" s="31">
        <v>5757.5224000000007</v>
      </c>
      <c r="E223" s="30">
        <v>3</v>
      </c>
      <c r="F223" s="30" t="s">
        <v>183</v>
      </c>
    </row>
    <row r="224" spans="2:17" x14ac:dyDescent="0.25">
      <c r="B224" s="40">
        <v>7</v>
      </c>
      <c r="C224" s="38" t="s">
        <v>274</v>
      </c>
      <c r="D224" s="39">
        <v>6221.5143666666672</v>
      </c>
      <c r="E224" s="38">
        <v>5</v>
      </c>
      <c r="F224" s="38" t="s">
        <v>183</v>
      </c>
    </row>
    <row r="225" spans="2:6" ht="24" x14ac:dyDescent="0.25">
      <c r="B225" s="35">
        <v>8</v>
      </c>
      <c r="C225" s="30" t="s">
        <v>276</v>
      </c>
      <c r="D225" s="31">
        <v>4462.5502999999999</v>
      </c>
      <c r="E225" s="30">
        <v>10</v>
      </c>
      <c r="F225" s="30" t="s">
        <v>277</v>
      </c>
    </row>
    <row r="226" spans="2:6" x14ac:dyDescent="0.25">
      <c r="B226" s="40">
        <v>9</v>
      </c>
      <c r="C226" s="38" t="s">
        <v>271</v>
      </c>
      <c r="D226" s="39">
        <v>1974.1665333333335</v>
      </c>
      <c r="E226" s="38">
        <v>4</v>
      </c>
      <c r="F226" s="38" t="s">
        <v>189</v>
      </c>
    </row>
    <row r="227" spans="2:6" x14ac:dyDescent="0.25">
      <c r="B227" s="35">
        <v>10</v>
      </c>
      <c r="C227" s="30" t="s">
        <v>279</v>
      </c>
      <c r="D227" s="31">
        <v>5336.0780666666687</v>
      </c>
      <c r="E227" s="30">
        <v>8</v>
      </c>
      <c r="F227" s="30" t="s">
        <v>209</v>
      </c>
    </row>
    <row r="228" spans="2:6" x14ac:dyDescent="0.25">
      <c r="B228" s="40">
        <v>11</v>
      </c>
      <c r="C228" s="38" t="s">
        <v>280</v>
      </c>
      <c r="D228" s="39">
        <v>5846.9173666666666</v>
      </c>
      <c r="E228" s="38">
        <v>7</v>
      </c>
      <c r="F228" s="38" t="s">
        <v>209</v>
      </c>
    </row>
    <row r="229" spans="2:6" x14ac:dyDescent="0.25">
      <c r="B229" s="35">
        <v>12</v>
      </c>
      <c r="C229" s="30" t="s">
        <v>278</v>
      </c>
      <c r="D229" s="31">
        <v>4339.8384666666661</v>
      </c>
      <c r="E229" s="30">
        <v>6</v>
      </c>
      <c r="F229" s="30" t="s">
        <v>209</v>
      </c>
    </row>
    <row r="230" spans="2:6" x14ac:dyDescent="0.25">
      <c r="B230" s="40">
        <v>13</v>
      </c>
      <c r="C230" s="38" t="s">
        <v>282</v>
      </c>
      <c r="D230" s="39">
        <v>6421.8311666666659</v>
      </c>
      <c r="E230" s="38">
        <v>8</v>
      </c>
      <c r="F230" s="38" t="s">
        <v>142</v>
      </c>
    </row>
    <row r="231" spans="2:6" x14ac:dyDescent="0.25">
      <c r="B231" s="35">
        <v>14</v>
      </c>
      <c r="C231" s="30" t="s">
        <v>284</v>
      </c>
      <c r="D231" s="31">
        <v>5778.9076333333333</v>
      </c>
      <c r="E231" s="30">
        <v>8</v>
      </c>
      <c r="F231" s="30" t="s">
        <v>142</v>
      </c>
    </row>
    <row r="232" spans="2:6" x14ac:dyDescent="0.25">
      <c r="B232" s="40">
        <v>15</v>
      </c>
      <c r="C232" s="38" t="s">
        <v>281</v>
      </c>
      <c r="D232" s="39">
        <v>4228.3337000000001</v>
      </c>
      <c r="E232" s="38">
        <v>7</v>
      </c>
      <c r="F232" s="38" t="s">
        <v>209</v>
      </c>
    </row>
    <row r="233" spans="2:6" x14ac:dyDescent="0.25">
      <c r="B233" s="35">
        <v>16</v>
      </c>
      <c r="C233" s="30" t="s">
        <v>286</v>
      </c>
      <c r="D233" s="31">
        <v>4051.8980666666671</v>
      </c>
      <c r="E233" s="30">
        <v>5</v>
      </c>
      <c r="F233" s="30" t="s">
        <v>183</v>
      </c>
    </row>
    <row r="234" spans="2:6" x14ac:dyDescent="0.25">
      <c r="B234" s="40">
        <v>17</v>
      </c>
      <c r="C234" s="38" t="s">
        <v>283</v>
      </c>
      <c r="D234" s="39">
        <v>4785.7134333333324</v>
      </c>
      <c r="E234" s="38">
        <v>8</v>
      </c>
      <c r="F234" s="38" t="s">
        <v>209</v>
      </c>
    </row>
    <row r="235" spans="2:6" x14ac:dyDescent="0.25">
      <c r="B235" s="35">
        <v>18</v>
      </c>
      <c r="C235" s="30" t="s">
        <v>300</v>
      </c>
      <c r="D235" s="31">
        <v>3653.4390999999991</v>
      </c>
      <c r="E235" s="30">
        <v>6</v>
      </c>
      <c r="F235" s="30" t="s">
        <v>209</v>
      </c>
    </row>
    <row r="236" spans="2:6" ht="48" x14ac:dyDescent="0.25">
      <c r="B236" s="40">
        <v>19</v>
      </c>
      <c r="C236" s="38" t="s">
        <v>285</v>
      </c>
      <c r="D236" s="39">
        <v>3564.3117666666676</v>
      </c>
      <c r="E236" s="38">
        <v>7</v>
      </c>
      <c r="F236" s="38" t="s">
        <v>213</v>
      </c>
    </row>
    <row r="237" spans="2:6" x14ac:dyDescent="0.25">
      <c r="B237" s="35">
        <v>20</v>
      </c>
      <c r="C237" s="30" t="s">
        <v>288</v>
      </c>
      <c r="D237" s="31">
        <v>2234.1446666666666</v>
      </c>
      <c r="E237" s="30">
        <v>15</v>
      </c>
      <c r="F237" s="30" t="s">
        <v>151</v>
      </c>
    </row>
    <row r="238" spans="2:6" ht="48" x14ac:dyDescent="0.25">
      <c r="B238" s="40">
        <v>21</v>
      </c>
      <c r="C238" s="38" t="s">
        <v>287</v>
      </c>
      <c r="D238" s="39">
        <v>3502.3384333333329</v>
      </c>
      <c r="E238" s="38">
        <v>6</v>
      </c>
      <c r="F238" s="38" t="s">
        <v>213</v>
      </c>
    </row>
    <row r="239" spans="2:6" x14ac:dyDescent="0.25">
      <c r="B239" s="35">
        <v>22</v>
      </c>
      <c r="C239" s="30" t="s">
        <v>291</v>
      </c>
      <c r="D239" s="31">
        <v>1828.0085000000001</v>
      </c>
      <c r="E239" s="30">
        <v>3</v>
      </c>
      <c r="F239" s="30" t="s">
        <v>152</v>
      </c>
    </row>
    <row r="240" spans="2:6" x14ac:dyDescent="0.25">
      <c r="B240" s="40">
        <v>23</v>
      </c>
      <c r="C240" s="38" t="s">
        <v>297</v>
      </c>
      <c r="D240" s="39">
        <v>2965.5032666666671</v>
      </c>
      <c r="E240" s="38">
        <v>2</v>
      </c>
      <c r="F240" s="38" t="s">
        <v>176</v>
      </c>
    </row>
    <row r="241" spans="2:15" ht="24" x14ac:dyDescent="0.25">
      <c r="B241" s="35">
        <v>24</v>
      </c>
      <c r="C241" s="30" t="s">
        <v>289</v>
      </c>
      <c r="D241" s="31">
        <v>663.29140000000007</v>
      </c>
      <c r="E241" s="30">
        <v>12</v>
      </c>
      <c r="F241" s="30" t="s">
        <v>290</v>
      </c>
    </row>
    <row r="242" spans="2:15" x14ac:dyDescent="0.25">
      <c r="B242" s="40">
        <v>25</v>
      </c>
      <c r="C242" s="38" t="s">
        <v>298</v>
      </c>
      <c r="D242" s="39">
        <v>911.60203333333334</v>
      </c>
      <c r="E242" s="38">
        <v>15</v>
      </c>
      <c r="F242" s="38" t="s">
        <v>299</v>
      </c>
    </row>
    <row r="243" spans="2:15" ht="24" x14ac:dyDescent="0.25">
      <c r="B243" s="35">
        <v>26</v>
      </c>
      <c r="C243" s="30" t="s">
        <v>301</v>
      </c>
      <c r="D243" s="31">
        <v>7105.4729666666672</v>
      </c>
      <c r="E243" s="30">
        <v>37</v>
      </c>
      <c r="F243" s="30" t="s">
        <v>302</v>
      </c>
    </row>
    <row r="244" spans="2:15" x14ac:dyDescent="0.25">
      <c r="B244" s="40">
        <v>27</v>
      </c>
      <c r="C244" s="38" t="s">
        <v>292</v>
      </c>
      <c r="D244" s="39">
        <v>432.50990000000002</v>
      </c>
      <c r="E244" s="38">
        <v>11</v>
      </c>
      <c r="F244" s="38" t="s">
        <v>293</v>
      </c>
    </row>
    <row r="245" spans="2:15" x14ac:dyDescent="0.25">
      <c r="B245" s="35">
        <v>28</v>
      </c>
      <c r="C245" s="30" t="s">
        <v>294</v>
      </c>
      <c r="D245" s="31">
        <v>152.67389999999997</v>
      </c>
      <c r="E245" s="30">
        <v>7</v>
      </c>
      <c r="F245" s="30" t="s">
        <v>295</v>
      </c>
    </row>
    <row r="246" spans="2:15" x14ac:dyDescent="0.25">
      <c r="B246" s="40">
        <v>29</v>
      </c>
      <c r="C246" s="38" t="s">
        <v>296</v>
      </c>
      <c r="D246" s="39">
        <v>1672.3385333333333</v>
      </c>
      <c r="E246" s="38">
        <v>5</v>
      </c>
      <c r="F246" s="38" t="s">
        <v>209</v>
      </c>
    </row>
    <row r="247" spans="2:15" x14ac:dyDescent="0.25">
      <c r="B247" s="41">
        <v>30</v>
      </c>
      <c r="C247" s="42" t="s">
        <v>343</v>
      </c>
      <c r="D247" s="43">
        <v>633.55196666666666</v>
      </c>
      <c r="E247" s="42">
        <v>14</v>
      </c>
      <c r="F247" s="42" t="s">
        <v>344</v>
      </c>
    </row>
    <row r="248" spans="2:15" s="11" customFormat="1" x14ac:dyDescent="0.25">
      <c r="C248"/>
      <c r="D248"/>
      <c r="E248"/>
      <c r="F248"/>
      <c r="G248"/>
      <c r="H248"/>
      <c r="J248" s="13"/>
      <c r="K248" s="13"/>
    </row>
    <row r="249" spans="2:15" x14ac:dyDescent="0.25">
      <c r="I249" s="11"/>
      <c r="J249" s="11"/>
      <c r="K249" s="11"/>
      <c r="L249" s="11"/>
    </row>
    <row r="250" spans="2:15" ht="26.25" x14ac:dyDescent="0.4">
      <c r="B250" s="2" t="s">
        <v>305</v>
      </c>
      <c r="I250" s="58"/>
      <c r="J250" s="11"/>
      <c r="K250" s="11"/>
      <c r="L250" s="11"/>
      <c r="M250" s="11"/>
      <c r="N250" s="11"/>
      <c r="O250" s="11"/>
    </row>
    <row r="251" spans="2:15" x14ac:dyDescent="0.25">
      <c r="I251" s="11"/>
      <c r="J251" s="11"/>
      <c r="K251" s="11"/>
      <c r="L251" s="11"/>
      <c r="M251" s="11"/>
      <c r="N251" s="11"/>
      <c r="O251" s="11"/>
    </row>
    <row r="252" spans="2:15" ht="27" customHeight="1" x14ac:dyDescent="0.25">
      <c r="B252" s="48" t="s">
        <v>52</v>
      </c>
      <c r="C252" s="48" t="s">
        <v>135</v>
      </c>
      <c r="D252" s="48" t="s">
        <v>42</v>
      </c>
      <c r="E252" s="48" t="s">
        <v>174</v>
      </c>
      <c r="F252" s="48" t="s">
        <v>53</v>
      </c>
      <c r="G252" s="48" t="s">
        <v>306</v>
      </c>
      <c r="N252" s="11"/>
      <c r="O252" s="11"/>
    </row>
    <row r="253" spans="2:15" x14ac:dyDescent="0.25">
      <c r="B253" s="40">
        <v>1</v>
      </c>
      <c r="C253" s="38" t="s">
        <v>143</v>
      </c>
      <c r="D253" s="38" t="s">
        <v>43</v>
      </c>
      <c r="E253" s="38" t="s">
        <v>177</v>
      </c>
      <c r="F253" s="38" t="s">
        <v>54</v>
      </c>
      <c r="G253" s="54">
        <v>570.72336666666672</v>
      </c>
      <c r="N253" s="11"/>
      <c r="O253" s="11"/>
    </row>
    <row r="254" spans="2:15" x14ac:dyDescent="0.25">
      <c r="B254" s="35">
        <v>2</v>
      </c>
      <c r="C254" s="30" t="s">
        <v>142</v>
      </c>
      <c r="D254" s="30" t="s">
        <v>43</v>
      </c>
      <c r="E254" s="30" t="s">
        <v>177</v>
      </c>
      <c r="F254" s="30" t="s">
        <v>54</v>
      </c>
      <c r="G254" s="55">
        <v>469.56826666666672</v>
      </c>
      <c r="N254" s="11"/>
      <c r="O254" s="11"/>
    </row>
    <row r="255" spans="2:15" x14ac:dyDescent="0.25">
      <c r="B255" s="40">
        <v>3</v>
      </c>
      <c r="C255" s="38" t="s">
        <v>144</v>
      </c>
      <c r="D255" s="38" t="s">
        <v>43</v>
      </c>
      <c r="E255" s="38" t="s">
        <v>177</v>
      </c>
      <c r="F255" s="38" t="s">
        <v>54</v>
      </c>
      <c r="G255" s="54">
        <v>429.20926666666668</v>
      </c>
    </row>
    <row r="256" spans="2:15" x14ac:dyDescent="0.25">
      <c r="B256" s="35">
        <v>4</v>
      </c>
      <c r="C256" s="30" t="s">
        <v>166</v>
      </c>
      <c r="D256" s="30" t="s">
        <v>44</v>
      </c>
      <c r="E256" s="30" t="s">
        <v>177</v>
      </c>
      <c r="F256" s="30" t="s">
        <v>54</v>
      </c>
      <c r="G256" s="55">
        <v>116.73923333333333</v>
      </c>
    </row>
    <row r="257" spans="2:7" x14ac:dyDescent="0.25">
      <c r="B257" s="40">
        <v>5</v>
      </c>
      <c r="C257" s="38" t="s">
        <v>299</v>
      </c>
      <c r="D257" s="38" t="s">
        <v>44</v>
      </c>
      <c r="E257" s="38" t="s">
        <v>177</v>
      </c>
      <c r="F257" s="38" t="s">
        <v>54</v>
      </c>
      <c r="G257" s="54">
        <v>115.05383333333333</v>
      </c>
    </row>
    <row r="258" spans="2:7" x14ac:dyDescent="0.25">
      <c r="B258" s="35">
        <v>6</v>
      </c>
      <c r="C258" s="30" t="s">
        <v>311</v>
      </c>
      <c r="D258" s="30" t="s">
        <v>44</v>
      </c>
      <c r="E258" s="30" t="s">
        <v>177</v>
      </c>
      <c r="F258" s="30" t="s">
        <v>55</v>
      </c>
      <c r="G258" s="55">
        <v>106.20223333333334</v>
      </c>
    </row>
    <row r="259" spans="2:7" x14ac:dyDescent="0.25">
      <c r="B259" s="40">
        <v>7</v>
      </c>
      <c r="C259" s="38" t="s">
        <v>146</v>
      </c>
      <c r="D259" s="38" t="s">
        <v>43</v>
      </c>
      <c r="E259" s="38" t="s">
        <v>177</v>
      </c>
      <c r="F259" s="38" t="s">
        <v>54</v>
      </c>
      <c r="G259" s="54">
        <v>92.283966666666672</v>
      </c>
    </row>
    <row r="260" spans="2:7" x14ac:dyDescent="0.25">
      <c r="B260" s="35">
        <v>8</v>
      </c>
      <c r="C260" s="30" t="s">
        <v>308</v>
      </c>
      <c r="D260" s="30" t="s">
        <v>44</v>
      </c>
      <c r="E260" s="30" t="s">
        <v>177</v>
      </c>
      <c r="F260" s="30" t="s">
        <v>59</v>
      </c>
      <c r="G260" s="55">
        <v>66.951599999999999</v>
      </c>
    </row>
    <row r="261" spans="2:7" x14ac:dyDescent="0.25">
      <c r="B261" s="40">
        <v>9</v>
      </c>
      <c r="C261" s="38" t="s">
        <v>161</v>
      </c>
      <c r="D261" s="38" t="s">
        <v>44</v>
      </c>
      <c r="E261" s="38" t="s">
        <v>177</v>
      </c>
      <c r="F261" s="38" t="s">
        <v>54</v>
      </c>
      <c r="G261" s="54">
        <v>59.764033333333337</v>
      </c>
    </row>
    <row r="262" spans="2:7" x14ac:dyDescent="0.25">
      <c r="B262" s="35">
        <v>10</v>
      </c>
      <c r="C262" s="30" t="s">
        <v>145</v>
      </c>
      <c r="D262" s="30" t="s">
        <v>43</v>
      </c>
      <c r="E262" s="30" t="s">
        <v>177</v>
      </c>
      <c r="F262" s="30" t="s">
        <v>54</v>
      </c>
      <c r="G262" s="55">
        <v>59.0548</v>
      </c>
    </row>
    <row r="263" spans="2:7" x14ac:dyDescent="0.25">
      <c r="B263" s="40">
        <v>11</v>
      </c>
      <c r="C263" s="38" t="s">
        <v>151</v>
      </c>
      <c r="D263" s="38" t="s">
        <v>44</v>
      </c>
      <c r="E263" s="38" t="s">
        <v>177</v>
      </c>
      <c r="F263" s="38" t="s">
        <v>54</v>
      </c>
      <c r="G263" s="54">
        <v>51.185133333333333</v>
      </c>
    </row>
    <row r="264" spans="2:7" x14ac:dyDescent="0.25">
      <c r="B264" s="35">
        <v>12</v>
      </c>
      <c r="C264" s="30" t="s">
        <v>158</v>
      </c>
      <c r="D264" s="30" t="s">
        <v>44</v>
      </c>
      <c r="E264" s="30" t="s">
        <v>177</v>
      </c>
      <c r="F264" s="30" t="s">
        <v>54</v>
      </c>
      <c r="G264" s="55">
        <v>46.907633333333337</v>
      </c>
    </row>
    <row r="265" spans="2:7" x14ac:dyDescent="0.25">
      <c r="B265" s="40">
        <v>13</v>
      </c>
      <c r="C265" s="38" t="s">
        <v>307</v>
      </c>
      <c r="D265" s="38" t="s">
        <v>44</v>
      </c>
      <c r="E265" s="38" t="s">
        <v>177</v>
      </c>
      <c r="F265" s="38" t="s">
        <v>56</v>
      </c>
      <c r="G265" s="54">
        <v>46.573433333333334</v>
      </c>
    </row>
    <row r="266" spans="2:7" x14ac:dyDescent="0.25">
      <c r="B266" s="35">
        <v>14</v>
      </c>
      <c r="C266" s="30" t="s">
        <v>312</v>
      </c>
      <c r="D266" s="30" t="s">
        <v>32</v>
      </c>
      <c r="E266" s="30" t="s">
        <v>177</v>
      </c>
      <c r="F266" s="30" t="s">
        <v>68</v>
      </c>
      <c r="G266" s="55">
        <v>42.084333333333333</v>
      </c>
    </row>
    <row r="267" spans="2:7" x14ac:dyDescent="0.25">
      <c r="B267" s="40">
        <v>15</v>
      </c>
      <c r="C267" s="38" t="s">
        <v>310</v>
      </c>
      <c r="D267" s="38" t="s">
        <v>44</v>
      </c>
      <c r="E267" s="38" t="s">
        <v>177</v>
      </c>
      <c r="F267" s="38" t="s">
        <v>60</v>
      </c>
      <c r="G267" s="54">
        <v>41.637599999999999</v>
      </c>
    </row>
    <row r="268" spans="2:7" x14ac:dyDescent="0.25">
      <c r="B268" s="35">
        <v>16</v>
      </c>
      <c r="C268" s="30" t="s">
        <v>309</v>
      </c>
      <c r="D268" s="30" t="s">
        <v>47</v>
      </c>
      <c r="E268" s="30" t="s">
        <v>222</v>
      </c>
      <c r="F268" s="30" t="s">
        <v>54</v>
      </c>
      <c r="G268" s="55">
        <v>38.086766666666669</v>
      </c>
    </row>
    <row r="269" spans="2:7" x14ac:dyDescent="0.25">
      <c r="B269" s="40">
        <v>17</v>
      </c>
      <c r="C269" s="38" t="s">
        <v>345</v>
      </c>
      <c r="D269" s="38" t="s">
        <v>43</v>
      </c>
      <c r="E269" s="38" t="s">
        <v>177</v>
      </c>
      <c r="F269" s="38" t="s">
        <v>66</v>
      </c>
      <c r="G269" s="54">
        <v>37.260300000000001</v>
      </c>
    </row>
    <row r="270" spans="2:7" x14ac:dyDescent="0.25">
      <c r="B270" s="35">
        <v>18</v>
      </c>
      <c r="C270" s="30" t="s">
        <v>235</v>
      </c>
      <c r="D270" s="30" t="s">
        <v>47</v>
      </c>
      <c r="E270" s="30" t="s">
        <v>222</v>
      </c>
      <c r="F270" s="30" t="s">
        <v>54</v>
      </c>
      <c r="G270" s="55">
        <v>36.606466666666662</v>
      </c>
    </row>
    <row r="271" spans="2:7" x14ac:dyDescent="0.25">
      <c r="B271" s="40">
        <v>19</v>
      </c>
      <c r="C271" s="38" t="s">
        <v>346</v>
      </c>
      <c r="D271" s="38" t="s">
        <v>36</v>
      </c>
      <c r="E271" s="38" t="s">
        <v>222</v>
      </c>
      <c r="F271" s="38" t="s">
        <v>69</v>
      </c>
      <c r="G271" s="54">
        <v>34.110066666666668</v>
      </c>
    </row>
    <row r="272" spans="2:7" ht="15.75" thickBot="1" x14ac:dyDescent="0.3">
      <c r="B272" s="14">
        <v>20</v>
      </c>
      <c r="C272" s="56" t="s">
        <v>154</v>
      </c>
      <c r="D272" s="56" t="s">
        <v>43</v>
      </c>
      <c r="E272" s="56" t="s">
        <v>177</v>
      </c>
      <c r="F272" s="56" t="s">
        <v>54</v>
      </c>
      <c r="G272" s="57">
        <v>33.048933333333331</v>
      </c>
    </row>
    <row r="276" ht="32.25" customHeight="1" x14ac:dyDescent="0.25"/>
    <row r="278" ht="45" customHeight="1" x14ac:dyDescent="0.25"/>
    <row r="303" ht="37.5" customHeight="1" x14ac:dyDescent="0.25"/>
    <row r="327" ht="14.25" customHeight="1" x14ac:dyDescent="0.25"/>
    <row r="353" ht="39" customHeight="1" x14ac:dyDescent="0.25"/>
    <row r="423" ht="18.75" customHeight="1" x14ac:dyDescent="0.25"/>
    <row r="428" ht="38.25" customHeight="1" x14ac:dyDescent="0.25"/>
    <row r="453" ht="39.75" customHeight="1" x14ac:dyDescent="0.25"/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16D44291198F94F8CA1EB7B9C4DCAAA" ma:contentTypeVersion="13" ma:contentTypeDescription="Crie um novo documento." ma:contentTypeScope="" ma:versionID="44e7354d486049aec6578dcb7d537cf3">
  <xsd:schema xmlns:xsd="http://www.w3.org/2001/XMLSchema" xmlns:xs="http://www.w3.org/2001/XMLSchema" xmlns:p="http://schemas.microsoft.com/office/2006/metadata/properties" xmlns:ns2="b6df34b6-6bce-4e10-b24b-86f3a1441626" xmlns:ns3="72ad86e3-f920-4d78-a5ab-a0b4dcf96b3e" targetNamespace="http://schemas.microsoft.com/office/2006/metadata/properties" ma:root="true" ma:fieldsID="6ce7652d7d987efe91786487e6bf9e49" ns2:_="" ns3:_="">
    <xsd:import namespace="b6df34b6-6bce-4e10-b24b-86f3a1441626"/>
    <xsd:import namespace="72ad86e3-f920-4d78-a5ab-a0b4dcf96b3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df34b6-6bce-4e10-b24b-86f3a14416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9675d646-2160-4835-ae63-a6df056db87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ad86e3-f920-4d78-a5ab-a0b4dcf96b3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6d1de0c7-8cf5-4404-addb-acca4f0ac280}" ma:internalName="TaxCatchAll" ma:showField="CatchAllData" ma:web="72ad86e3-f920-4d78-a5ab-a0b4dcf96b3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4D7CA4-CD84-4285-BD75-B84550A72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df34b6-6bce-4e10-b24b-86f3a1441626"/>
    <ds:schemaRef ds:uri="72ad86e3-f920-4d78-a5ab-a0b4dcf96b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E32C27-D6BE-4692-8DF3-DB391A075F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Lista de Tabelas</vt:lpstr>
      <vt:lpstr>1. Histórico de Produção</vt:lpstr>
      <vt:lpstr>2. Dados de Produção</vt:lpstr>
      <vt:lpstr>3. Ranking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jpleite</dc:creator>
  <cp:keywords/>
  <dc:description/>
  <cp:lastModifiedBy>Vinicius Nobrega Costa</cp:lastModifiedBy>
  <cp:revision/>
  <dcterms:created xsi:type="dcterms:W3CDTF">2017-11-28T15:39:22Z</dcterms:created>
  <dcterms:modified xsi:type="dcterms:W3CDTF">2024-07-30T12:05:17Z</dcterms:modified>
  <cp:category/>
  <cp:contentStatus/>
</cp:coreProperties>
</file>